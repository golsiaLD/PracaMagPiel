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robert/Work/PracaMagPiel/"/>
    </mc:Choice>
  </mc:AlternateContent>
  <xr:revisionPtr revIDLastSave="0" documentId="13_ncr:1_{5403869F-E446-B74E-9A4F-FA84B48C98FB}" xr6:coauthVersionLast="47" xr6:coauthVersionMax="47" xr10:uidLastSave="{00000000-0000-0000-0000-000000000000}"/>
  <bookViews>
    <workbookView xWindow="1560" yWindow="-18920" windowWidth="33600" windowHeight="19400" xr2:uid="{66594D31-A79F-604C-9B1B-204C10D6F309}"/>
  </bookViews>
  <sheets>
    <sheet name="Ankieta" sheetId="1" r:id="rId1"/>
    <sheet name="Arkusz2" sheetId="5" r:id="rId2"/>
    <sheet name="pyt 27" sheetId="2" r:id="rId3"/>
    <sheet name="pyt 10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4" i="1" l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3" i="1"/>
  <c r="E46" i="2"/>
  <c r="E45" i="2"/>
  <c r="E44" i="2"/>
  <c r="E43" i="2"/>
  <c r="E40" i="2"/>
  <c r="E41" i="2"/>
  <c r="E42" i="2"/>
  <c r="E39" i="2"/>
  <c r="E38" i="2"/>
  <c r="Q31" i="2"/>
  <c r="BE41" i="1"/>
  <c r="BQ14" i="1"/>
  <c r="BI13" i="1"/>
  <c r="BJ13" i="1"/>
  <c r="BH13" i="1"/>
  <c r="AZ15" i="1"/>
  <c r="AZ16" i="1"/>
  <c r="AZ17" i="1"/>
  <c r="AZ18" i="1"/>
  <c r="AZ14" i="1"/>
  <c r="BD23" i="1"/>
  <c r="BD31" i="1" s="1"/>
  <c r="BC23" i="1"/>
  <c r="BC31" i="1" s="1"/>
  <c r="BB23" i="1"/>
  <c r="BB31" i="1" s="1"/>
  <c r="AW54" i="1"/>
  <c r="AW118" i="1"/>
  <c r="AW55" i="1"/>
  <c r="AW108" i="1"/>
  <c r="AW48" i="1"/>
  <c r="AW112" i="1"/>
  <c r="AW57" i="1"/>
  <c r="AW45" i="1"/>
  <c r="AW66" i="1"/>
  <c r="AW99" i="1"/>
  <c r="AW51" i="1"/>
  <c r="AW36" i="1"/>
  <c r="AW100" i="1"/>
  <c r="AW12" i="1"/>
  <c r="AW21" i="1"/>
  <c r="AW63" i="1"/>
  <c r="AW53" i="1"/>
  <c r="AW56" i="1"/>
  <c r="AW29" i="1"/>
  <c r="AW65" i="1"/>
  <c r="AW117" i="1"/>
  <c r="AW74" i="1"/>
  <c r="AW115" i="1"/>
  <c r="AW59" i="1"/>
  <c r="AW44" i="1"/>
  <c r="AW116" i="1"/>
  <c r="AW8" i="1"/>
  <c r="AW39" i="1"/>
  <c r="AW50" i="1"/>
  <c r="AW84" i="1"/>
  <c r="AW47" i="1"/>
  <c r="AW104" i="1"/>
  <c r="AW67" i="1"/>
  <c r="AW7" i="1"/>
  <c r="AW62" i="1"/>
  <c r="AW70" i="1"/>
  <c r="AW77" i="1"/>
  <c r="AW71" i="1"/>
  <c r="AW69" i="1"/>
  <c r="AW64" i="1"/>
  <c r="AW85" i="1"/>
  <c r="AW73" i="1"/>
  <c r="AW18" i="1"/>
  <c r="AW82" i="1"/>
  <c r="AW61" i="1"/>
  <c r="AW75" i="1"/>
  <c r="AW52" i="1"/>
  <c r="AW37" i="1"/>
  <c r="AW9" i="1"/>
  <c r="AW15" i="1"/>
  <c r="AW79" i="1"/>
  <c r="AW109" i="1"/>
  <c r="AW72" i="1"/>
  <c r="AW17" i="1"/>
  <c r="AW81" i="1"/>
  <c r="AW90" i="1"/>
  <c r="AW101" i="1"/>
  <c r="AW83" i="1"/>
  <c r="AW93" i="1"/>
  <c r="AW10" i="1"/>
  <c r="AW4" i="1"/>
  <c r="AW32" i="1"/>
  <c r="AW105" i="1"/>
  <c r="AW20" i="1"/>
  <c r="AW111" i="1"/>
  <c r="AW49" i="1"/>
  <c r="AW43" i="1"/>
  <c r="AW14" i="1"/>
  <c r="AW78" i="1"/>
  <c r="AW26" i="1"/>
  <c r="AW60" i="1"/>
  <c r="AW13" i="1"/>
  <c r="AW103" i="1"/>
  <c r="AW41" i="1"/>
  <c r="AW35" i="1"/>
  <c r="AW110" i="1"/>
  <c r="AW113" i="1"/>
  <c r="AW28" i="1"/>
  <c r="AW22" i="1"/>
  <c r="AW86" i="1"/>
  <c r="AW23" i="1"/>
  <c r="AW87" i="1"/>
  <c r="AW16" i="1"/>
  <c r="AW80" i="1"/>
  <c r="AW25" i="1"/>
  <c r="AW89" i="1"/>
  <c r="AW34" i="1"/>
  <c r="AW98" i="1"/>
  <c r="AW19" i="1"/>
  <c r="AW91" i="1"/>
  <c r="AW68" i="1"/>
  <c r="AW5" i="1"/>
  <c r="AW11" i="1"/>
  <c r="AW94" i="1"/>
  <c r="AW31" i="1"/>
  <c r="AW95" i="1"/>
  <c r="AW24" i="1"/>
  <c r="AW88" i="1"/>
  <c r="AW33" i="1"/>
  <c r="AW97" i="1"/>
  <c r="AW42" i="1"/>
  <c r="AW106" i="1"/>
  <c r="AW27" i="1"/>
  <c r="AW107" i="1"/>
  <c r="AW76" i="1"/>
  <c r="AW102" i="1"/>
  <c r="AW96" i="1"/>
  <c r="AW114" i="1"/>
  <c r="AW6" i="1"/>
  <c r="AW40" i="1"/>
  <c r="AW58" i="1"/>
  <c r="AW92" i="1"/>
  <c r="AW30" i="1"/>
  <c r="AW38" i="1"/>
  <c r="AW46" i="1"/>
  <c r="BG4" i="1" l="1" a="1"/>
  <c r="BG5" i="1" s="1"/>
  <c r="BC4" i="1" a="1"/>
  <c r="BC8" i="1" s="1"/>
  <c r="BE4" i="1" a="1"/>
  <c r="BE4" i="1" s="1"/>
  <c r="BD4" i="1" a="1"/>
  <c r="BD7" i="1" s="1"/>
  <c r="BC17" i="1" s="1"/>
  <c r="BF4" i="1" a="1"/>
  <c r="BF5" i="1" s="1"/>
  <c r="BB4" i="1" a="1"/>
  <c r="BB5" i="1" s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4" i="1"/>
  <c r="E27" i="3"/>
  <c r="F27" i="3"/>
  <c r="D27" i="3"/>
  <c r="G24" i="3"/>
  <c r="G25" i="3"/>
  <c r="G26" i="3"/>
  <c r="G23" i="3"/>
  <c r="G22" i="3"/>
  <c r="F24" i="2"/>
  <c r="E24" i="2"/>
  <c r="J23" i="2" s="1"/>
  <c r="N23" i="2" s="1"/>
  <c r="D24" i="2"/>
  <c r="G23" i="2"/>
  <c r="G22" i="2"/>
  <c r="G24" i="2" s="1"/>
  <c r="E7" i="2"/>
  <c r="D7" i="2"/>
  <c r="F6" i="2"/>
  <c r="F5" i="2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31" i="1"/>
  <c r="AV39" i="1"/>
  <c r="AV71" i="1"/>
  <c r="AV95" i="1"/>
  <c r="AV111" i="1"/>
  <c r="AV72" i="1"/>
  <c r="AV104" i="1"/>
  <c r="AV25" i="1"/>
  <c r="AV65" i="1"/>
  <c r="AV81" i="1"/>
  <c r="AV50" i="1"/>
  <c r="AV98" i="1"/>
  <c r="AV59" i="1"/>
  <c r="AV115" i="1"/>
  <c r="AV84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23" i="1"/>
  <c r="AV47" i="1"/>
  <c r="AV63" i="1"/>
  <c r="AV87" i="1"/>
  <c r="AV103" i="1"/>
  <c r="AV64" i="1"/>
  <c r="AV96" i="1"/>
  <c r="AV33" i="1"/>
  <c r="AV57" i="1"/>
  <c r="AV89" i="1"/>
  <c r="AV113" i="1"/>
  <c r="AV74" i="1"/>
  <c r="AV35" i="1"/>
  <c r="AV91" i="1"/>
  <c r="AV76" i="1"/>
  <c r="AV7" i="1"/>
  <c r="AV15" i="1"/>
  <c r="AV55" i="1"/>
  <c r="AV79" i="1"/>
  <c r="AV48" i="1"/>
  <c r="AV80" i="1"/>
  <c r="AV112" i="1"/>
  <c r="AV41" i="1"/>
  <c r="AV105" i="1"/>
  <c r="AV58" i="1"/>
  <c r="AV106" i="1"/>
  <c r="AV83" i="1"/>
  <c r="AV60" i="1"/>
  <c r="AV116" i="1"/>
  <c r="AV8" i="1"/>
  <c r="AV16" i="1"/>
  <c r="AV24" i="1"/>
  <c r="AV32" i="1"/>
  <c r="AV40" i="1"/>
  <c r="AV56" i="1"/>
  <c r="AV88" i="1"/>
  <c r="AV17" i="1"/>
  <c r="AV49" i="1"/>
  <c r="AV97" i="1"/>
  <c r="AV66" i="1"/>
  <c r="AV114" i="1"/>
  <c r="AV75" i="1"/>
  <c r="AV52" i="1"/>
  <c r="AV9" i="1"/>
  <c r="AV73" i="1"/>
  <c r="AV42" i="1"/>
  <c r="AV90" i="1"/>
  <c r="AV43" i="1"/>
  <c r="AV99" i="1"/>
  <c r="AV92" i="1"/>
  <c r="AV10" i="1"/>
  <c r="AV18" i="1"/>
  <c r="AV26" i="1"/>
  <c r="AV34" i="1"/>
  <c r="AV82" i="1"/>
  <c r="AV51" i="1"/>
  <c r="AV107" i="1"/>
  <c r="AV100" i="1"/>
  <c r="AV11" i="1"/>
  <c r="AV19" i="1"/>
  <c r="AV27" i="1"/>
  <c r="AV67" i="1"/>
  <c r="AV68" i="1"/>
  <c r="AV12" i="1"/>
  <c r="AV20" i="1"/>
  <c r="AV28" i="1"/>
  <c r="AV36" i="1"/>
  <c r="AV44" i="1"/>
  <c r="AV108" i="1"/>
  <c r="AV4" i="1"/>
  <c r="BD8" i="1" l="1"/>
  <c r="BC18" i="1" s="1"/>
  <c r="BC33" i="1" s="1"/>
  <c r="BD4" i="1"/>
  <c r="BC14" i="1" s="1"/>
  <c r="BD5" i="1"/>
  <c r="BC15" i="1" s="1"/>
  <c r="BC4" i="1"/>
  <c r="BE7" i="1"/>
  <c r="BD6" i="1"/>
  <c r="BC16" i="1" s="1"/>
  <c r="BC5" i="1"/>
  <c r="BG6" i="1"/>
  <c r="BC6" i="1"/>
  <c r="BC7" i="1"/>
  <c r="BE5" i="1"/>
  <c r="BG4" i="1"/>
  <c r="BE6" i="1"/>
  <c r="BG7" i="1"/>
  <c r="BE8" i="1"/>
  <c r="BG8" i="1"/>
  <c r="BF4" i="1"/>
  <c r="BF6" i="1"/>
  <c r="BF7" i="1"/>
  <c r="BF8" i="1"/>
  <c r="BB7" i="1"/>
  <c r="BB6" i="1"/>
  <c r="BB4" i="1"/>
  <c r="BB8" i="1"/>
  <c r="K23" i="2"/>
  <c r="O23" i="2" s="1"/>
  <c r="I23" i="2"/>
  <c r="M23" i="2" s="1"/>
  <c r="J26" i="3"/>
  <c r="N26" i="3" s="1"/>
  <c r="I22" i="2"/>
  <c r="M22" i="2" s="1"/>
  <c r="F7" i="2"/>
  <c r="I6" i="2" s="1"/>
  <c r="M6" i="2" s="1"/>
  <c r="K22" i="2"/>
  <c r="O22" i="2" s="1"/>
  <c r="J22" i="2"/>
  <c r="N22" i="2" s="1"/>
  <c r="G27" i="3"/>
  <c r="BH5" i="1" l="1"/>
  <c r="BD14" i="1"/>
  <c r="BB14" i="1"/>
  <c r="BF9" i="1"/>
  <c r="BH6" i="1"/>
  <c r="BB16" i="1"/>
  <c r="BH8" i="1"/>
  <c r="BB18" i="1"/>
  <c r="BE9" i="1"/>
  <c r="BD15" i="1"/>
  <c r="BC25" i="1"/>
  <c r="BB15" i="1"/>
  <c r="BD18" i="1"/>
  <c r="BD17" i="1"/>
  <c r="BH7" i="1"/>
  <c r="BB17" i="1"/>
  <c r="BC32" i="1"/>
  <c r="BC24" i="1"/>
  <c r="BC19" i="1"/>
  <c r="BC9" i="1"/>
  <c r="BD16" i="1"/>
  <c r="BD9" i="1"/>
  <c r="BG9" i="1"/>
  <c r="BB9" i="1"/>
  <c r="BH4" i="1"/>
  <c r="P24" i="2"/>
  <c r="I23" i="3"/>
  <c r="M23" i="3" s="1"/>
  <c r="K26" i="3"/>
  <c r="O26" i="3" s="1"/>
  <c r="K22" i="3"/>
  <c r="O22" i="3" s="1"/>
  <c r="I24" i="3"/>
  <c r="M24" i="3" s="1"/>
  <c r="I25" i="3"/>
  <c r="M25" i="3" s="1"/>
  <c r="H6" i="2"/>
  <c r="L6" i="2" s="1"/>
  <c r="H5" i="2"/>
  <c r="L5" i="2" s="1"/>
  <c r="N7" i="2" s="1"/>
  <c r="J24" i="3"/>
  <c r="N24" i="3" s="1"/>
  <c r="J22" i="3"/>
  <c r="N22" i="3" s="1"/>
  <c r="K24" i="3"/>
  <c r="O24" i="3" s="1"/>
  <c r="I5" i="2"/>
  <c r="M5" i="2" s="1"/>
  <c r="K25" i="3"/>
  <c r="O25" i="3" s="1"/>
  <c r="J25" i="3"/>
  <c r="N25" i="3" s="1"/>
  <c r="J23" i="3"/>
  <c r="N23" i="3" s="1"/>
  <c r="I22" i="3"/>
  <c r="M22" i="3" s="1"/>
  <c r="I26" i="3"/>
  <c r="M26" i="3" s="1"/>
  <c r="K23" i="3"/>
  <c r="O23" i="3" s="1"/>
  <c r="BE14" i="1" l="1"/>
  <c r="BB24" i="1"/>
  <c r="BB19" i="1"/>
  <c r="BB32" i="1"/>
  <c r="BH9" i="1"/>
  <c r="BC26" i="1"/>
  <c r="BB33" i="1"/>
  <c r="BB34" i="1" s="1"/>
  <c r="BE17" i="1"/>
  <c r="BD25" i="1"/>
  <c r="BD33" i="1"/>
  <c r="BE18" i="1"/>
  <c r="BD24" i="1"/>
  <c r="BE24" i="1" s="1"/>
  <c r="BD32" i="1"/>
  <c r="BE32" i="1" s="1"/>
  <c r="BD19" i="1"/>
  <c r="BE19" i="1" s="1"/>
  <c r="BC34" i="1"/>
  <c r="BE15" i="1"/>
  <c r="BE16" i="1"/>
  <c r="BB25" i="1"/>
  <c r="P27" i="3"/>
  <c r="BH17" i="1" l="1"/>
  <c r="BL17" i="1" s="1"/>
  <c r="BI18" i="1"/>
  <c r="BM18" i="1" s="1"/>
  <c r="BH14" i="1"/>
  <c r="BL14" i="1" s="1"/>
  <c r="BI15" i="1"/>
  <c r="BM15" i="1" s="1"/>
  <c r="BH18" i="1"/>
  <c r="BL18" i="1" s="1"/>
  <c r="BH15" i="1"/>
  <c r="BL15" i="1" s="1"/>
  <c r="BI16" i="1"/>
  <c r="BM16" i="1" s="1"/>
  <c r="BE25" i="1"/>
  <c r="BI14" i="1"/>
  <c r="BM14" i="1" s="1"/>
  <c r="BI17" i="1"/>
  <c r="BM17" i="1" s="1"/>
  <c r="BD26" i="1"/>
  <c r="BE33" i="1"/>
  <c r="BH16" i="1"/>
  <c r="BL16" i="1" s="1"/>
  <c r="BJ16" i="1"/>
  <c r="BN16" i="1" s="1"/>
  <c r="BJ17" i="1"/>
  <c r="BN17" i="1" s="1"/>
  <c r="BJ15" i="1"/>
  <c r="BN15" i="1" s="1"/>
  <c r="BJ14" i="1"/>
  <c r="BN14" i="1" s="1"/>
  <c r="BJ18" i="1"/>
  <c r="BN18" i="1" s="1"/>
  <c r="BD34" i="1"/>
  <c r="BB26" i="1"/>
  <c r="BN20" i="1" l="1"/>
  <c r="BQ20" i="1"/>
  <c r="BE26" i="1"/>
  <c r="BI24" i="1" s="1"/>
  <c r="BM24" i="1" s="1"/>
  <c r="BE34" i="1"/>
  <c r="BJ32" i="1" s="1"/>
  <c r="BN32" i="1" s="1"/>
  <c r="BJ25" i="1" l="1"/>
  <c r="BI25" i="1"/>
  <c r="BM25" i="1" s="1"/>
  <c r="BH25" i="1"/>
  <c r="BL25" i="1" s="1"/>
  <c r="BI32" i="1"/>
  <c r="BM32" i="1" s="1"/>
  <c r="BH32" i="1"/>
  <c r="BN25" i="1"/>
  <c r="BJ33" i="1"/>
  <c r="BN33" i="1" s="1"/>
  <c r="BJ24" i="1"/>
  <c r="BN24" i="1" s="1"/>
  <c r="BH33" i="1"/>
  <c r="BL33" i="1" s="1"/>
  <c r="BH24" i="1"/>
  <c r="BI33" i="1"/>
  <c r="BM33" i="1" s="1"/>
  <c r="BQ35" i="1" l="1"/>
  <c r="BL32" i="1"/>
  <c r="BN35" i="1" s="1"/>
  <c r="BQ27" i="1"/>
  <c r="BL24" i="1"/>
  <c r="BN27" i="1" s="1"/>
</calcChain>
</file>

<file path=xl/sharedStrings.xml><?xml version="1.0" encoding="utf-8"?>
<sst xmlns="http://schemas.openxmlformats.org/spreadsheetml/2006/main" count="5215" uniqueCount="297">
  <si>
    <t>Sygnatura czasowa</t>
  </si>
  <si>
    <t xml:space="preserve"> Płeć</t>
  </si>
  <si>
    <t>Wiek</t>
  </si>
  <si>
    <t>Wykształcenie</t>
  </si>
  <si>
    <t>Kształcenie podyplomowe</t>
  </si>
  <si>
    <t>Stan cywilny</t>
  </si>
  <si>
    <t>Miejsce zamieszkania</t>
  </si>
  <si>
    <t>1. Czy pracuję  Pan/i w zawodzie pielęgniarki / pielęgniarza?</t>
  </si>
  <si>
    <t>2.  W ilu miejscach pracy, obecnie Pan/i, jest zatrudniony/a?</t>
  </si>
  <si>
    <t>3. Ile, w przybliżeniu, wynosi miesięczny wymiar godzin, Pana/i pracy?</t>
  </si>
  <si>
    <t>4, Czy w podstawowym miejscu zatrudnienia, świadczy  Pan/i usługi, w systemie pracy?</t>
  </si>
  <si>
    <t>5.  Czy jest Pan/i zadowolona/y, z wyboru drogi zawodowej?</t>
  </si>
  <si>
    <t>6. Proszę podać, w przybliżeniu staż pracy, w jednej specjalizacji zawodowej (na jednym oddziale).</t>
  </si>
  <si>
    <t>7. Czy  środowisko  Pana/i pracy, jest wspierające?</t>
  </si>
  <si>
    <t>8. Czy środowisko Pana/i pracy, jest ,,toksyczne"( występuje mobbing,hejt)?</t>
  </si>
  <si>
    <t>9. Czy zakład pracy, w którym Pan/i pracuje stosuje systemy motywacyjne?</t>
  </si>
  <si>
    <t>10. Czy przynosi Pan/i , ,,pracę" do domu, w postaci emocji i myśli?</t>
  </si>
  <si>
    <t>11.  Czy doświadcza Pan/i, zjawiska określanego jako traumatyzacja wtórna (odczuwanie, objawów psychicznych - smutek, żal, poczucie bezradności, stres) oraz objawów somatycznych, po wystąpieniu trudnej, dramatycznej sytuacji w pracy, powyżej 30 dni?</t>
  </si>
  <si>
    <t>12. Czy potrafi Pan/i, niwelować w.w objawy, za pomocą technik psychologicznych?</t>
  </si>
  <si>
    <t>13. Czy, w celu radzenia sobie ze stresem związanym z pracą zawodową, sięga Pan/i po używki?</t>
  </si>
  <si>
    <t>14.Czy czuje Pan/i, dylemat wewnętrzny, wynikający z konieczności ciągłego podnoszenia kwalifikacji i wiążącymi się z nim ograniczeniami w życiu osobistym?</t>
  </si>
  <si>
    <t>15. Czy czuję Pan/i presję społeczną, wynikającą z oczekiwań wobec Systemu Ochrony Zdrowia?</t>
  </si>
  <si>
    <t>16. Czy doświadczył Pan/i przemocy słownej, fizycznej ze strony pacjenta?</t>
  </si>
  <si>
    <t>17. Czy kiedykolwiek uczestniczył /a Pan/i w postępowaniu dochodzeniowym z tytułu roszczenia pacjenta ?</t>
  </si>
  <si>
    <t>18. Czy ma Pan/i poczucie bezpieczeństwa w pracy w zagrożeniu koronawirusem?</t>
  </si>
  <si>
    <t>19. Czy popiera Pan/i działania przedstawicieli zawodu zmierzające do poprawy sytuacji pielęgniarek i położnych w Polsce ( marsze, strajki)?</t>
  </si>
  <si>
    <t>20. Czy odczuwa Pan/i satysfakcję, wynikającą z autonomii zawodu  - nabywania kompetencji, uprawnień, prowadzenia badań naukowych?</t>
  </si>
  <si>
    <t>21. Czy uważa Pan/i, że nowe kompetencje pielęgniarskie nie są właściwie wykorzystane w Systemie Ochrony Zdrowia?</t>
  </si>
  <si>
    <t>22. Czy odczuwa Pan/i potrzebę, korzystania ze wsparcia psychologicznego dla pracowników medycznych?</t>
  </si>
  <si>
    <t>23. Czy posiada Pan/i pasję pozazawodową, którą rozwija ?</t>
  </si>
  <si>
    <t>24.  Czy czynnie uczestniczy, Pan/i w życiu rodzinnym i imprezach okolicznościowych przyjaciół?</t>
  </si>
  <si>
    <t>25. Czy Pana/i,partner/ka pracuje w Systemie Opieki Zdrowotnej?</t>
  </si>
  <si>
    <t>26. Czy rodzina wspiera Pana/ią, w godzeniu obowiązków domowych z pracą?</t>
  </si>
  <si>
    <t>27. Czy w Pana/i życiu przeważa?</t>
  </si>
  <si>
    <t>28. Czy  Pana/i praca zawodowa, jest powodem niezgody z życiowym partnerem?</t>
  </si>
  <si>
    <t>29. Czy zna Pan/i, pielęgniarki/pielęgniarzy, u których, doszło do rozpadu związku z powodu, pracy w zawodzie?</t>
  </si>
  <si>
    <t>29. Czy kiedykolwiek rozważał/a Pan/i, rezygnację z zawodu na rzecz szczęścia rodziny?</t>
  </si>
  <si>
    <t>30. Czy  zdarza się, że pracuje Pan/i, mimo wystąpienia własnej choroby, choroby członka rodziny?</t>
  </si>
  <si>
    <t>31. Czy korzysta Pan/i  ze zwolnienia L4, gdy są do tego wskazania?</t>
  </si>
  <si>
    <t>32.  Czy choruje Pan/i  na ?</t>
  </si>
  <si>
    <t>33. Czy empatia, była głównym kryterium wyboru zawodu, przez Pana/nią?</t>
  </si>
  <si>
    <t>34. Czy uważa Pan/i, że jest wypalona zawodowo?</t>
  </si>
  <si>
    <t>35. Czy z perspektywy czasu uważa Pan/i, że dokonał/a dobrego wyboru ścieżki zawodowej?</t>
  </si>
  <si>
    <t>36.  Czy gdyby Pana/i dziecko, zdecydowało się spełniać w pielęgniarstwie, wspierałby je Pan/i  w tym wyborze?</t>
  </si>
  <si>
    <t>2022/01/07 6:10:12 PM EET</t>
  </si>
  <si>
    <t>Kobieta</t>
  </si>
  <si>
    <t>od 45 do 60 lat</t>
  </si>
  <si>
    <t>Licencjat Pielęgniarstwa</t>
  </si>
  <si>
    <t>specjalizacja;kurs kawlifikacyjny;kurs specjalistyczny;nie związane z medycyną</t>
  </si>
  <si>
    <t>w związku małżeńskim</t>
  </si>
  <si>
    <t>Miasto od 50 tyś. do 150 tyś.</t>
  </si>
  <si>
    <t>od 10 do 20 lat</t>
  </si>
  <si>
    <t>dwóch</t>
  </si>
  <si>
    <t>od 170 do 199 godzin</t>
  </si>
  <si>
    <t>dwuzmianowej</t>
  </si>
  <si>
    <t>raczej nie</t>
  </si>
  <si>
    <t>od 5 do 10 lat</t>
  </si>
  <si>
    <t>raczej tak</t>
  </si>
  <si>
    <t>zdecydowanie tak</t>
  </si>
  <si>
    <t>zdecydowanie nie</t>
  </si>
  <si>
    <t>Nie</t>
  </si>
  <si>
    <t>nie ma konfliktu</t>
  </si>
  <si>
    <t>choroby przewlekłe</t>
  </si>
  <si>
    <t>2022/01/07 6:11:01 PM EET</t>
  </si>
  <si>
    <t>Mężczyzna</t>
  </si>
  <si>
    <t>do 25 lat</t>
  </si>
  <si>
    <t>nie związane z medycyną</t>
  </si>
  <si>
    <t>samotna/y</t>
  </si>
  <si>
    <t>Miasto od 150 tyś. do 500 tyś.</t>
  </si>
  <si>
    <t>krócej niż 2 lata</t>
  </si>
  <si>
    <t>jednym</t>
  </si>
  <si>
    <t>w jedno i dwuzmianowej</t>
  </si>
  <si>
    <t>od O do 2 lat</t>
  </si>
  <si>
    <t>nie mam zdania</t>
  </si>
  <si>
    <t>konflikt praca- rodzina</t>
  </si>
  <si>
    <t>2022/01/07 6:16:44 PM EET</t>
  </si>
  <si>
    <t>od 25 do 35 lat</t>
  </si>
  <si>
    <t>rozwiedziona/y</t>
  </si>
  <si>
    <t>od 2 do 5 lat</t>
  </si>
  <si>
    <t>do 149 godzin</t>
  </si>
  <si>
    <t>jednozmianowej</t>
  </si>
  <si>
    <t>nie choruję na w.w choroby</t>
  </si>
  <si>
    <t>2022/01/07 6:20:23 PM EET</t>
  </si>
  <si>
    <t>kurs specjalistyczny</t>
  </si>
  <si>
    <t>od 200 do 239 godzin</t>
  </si>
  <si>
    <t>raczej  nie</t>
  </si>
  <si>
    <t>konflikt rodzina- praca</t>
  </si>
  <si>
    <t>2022/01/07 6:44:22 PM EET</t>
  </si>
  <si>
    <t>Liceum Medyczne</t>
  </si>
  <si>
    <t>Wieś</t>
  </si>
  <si>
    <t>powyżej 20 lat</t>
  </si>
  <si>
    <t>2022/01/07 6:52:46 PM EET</t>
  </si>
  <si>
    <t>w związku nieformalnym</t>
  </si>
  <si>
    <t>Miasto powyżej 500 tyś.</t>
  </si>
  <si>
    <t>tak</t>
  </si>
  <si>
    <t>2022/01/07 6:54:23 PM EET</t>
  </si>
  <si>
    <t>specjalizacja;kurs kawlifikacyjny</t>
  </si>
  <si>
    <t>Miasto do 50 tyś.</t>
  </si>
  <si>
    <t>od 150 do 169 godzin</t>
  </si>
  <si>
    <t>od 20 do 30 lat</t>
  </si>
  <si>
    <t>2022/01/07 7:01:24 PM EET</t>
  </si>
  <si>
    <t>choroby współisniejace</t>
  </si>
  <si>
    <t>2022/01/07 7:32:52 PM EET</t>
  </si>
  <si>
    <t>specjalizacja</t>
  </si>
  <si>
    <t>zdecydowanie  nie</t>
  </si>
  <si>
    <t>2022/01/07 7:56:02 PM EET</t>
  </si>
  <si>
    <t>od 240 do 259 godzin</t>
  </si>
  <si>
    <t>2022/01/07 8:04:15 PM EET</t>
  </si>
  <si>
    <t>2022/01/07 8:15:12 PM EET</t>
  </si>
  <si>
    <t>2022/01/07 9:53:50 PM EET</t>
  </si>
  <si>
    <t>2022/01/07 10:12:32 PM EET</t>
  </si>
  <si>
    <t>specjalizacja;kurs specjalistyczny</t>
  </si>
  <si>
    <t>2022/01/07 10:22:13 PM EET</t>
  </si>
  <si>
    <t>specjalizacja;kurs kawlifikacyjny;kurs specjalistyczny</t>
  </si>
  <si>
    <t>więcej niż dwóch</t>
  </si>
  <si>
    <t>2022/01/07 10:25:13 PM EET</t>
  </si>
  <si>
    <t>2022/01/07 10:40:15 PM EET</t>
  </si>
  <si>
    <t>2022/01/07 11:29:10 PM EET</t>
  </si>
  <si>
    <t>powyżej 260 godzin</t>
  </si>
  <si>
    <t>2022/01/08 12:22:53 AM EET</t>
  </si>
  <si>
    <t>od 35 do 45 lat</t>
  </si>
  <si>
    <t>Magister Pielęgniarstwa</t>
  </si>
  <si>
    <t>2022/01/08 12:23:02 AM EET</t>
  </si>
  <si>
    <t>Studium Medyczne</t>
  </si>
  <si>
    <t>2022/01/08 8:22:12 AM EET</t>
  </si>
  <si>
    <t>powyżej 60</t>
  </si>
  <si>
    <t>kurs kawlifikacyjny</t>
  </si>
  <si>
    <t>2022/01/08 8:24:47 AM EET</t>
  </si>
  <si>
    <t>2022/01/08 10:10:06 AM EET</t>
  </si>
  <si>
    <t>2022/01/08 12:43:00 PM EET</t>
  </si>
  <si>
    <t>2022/01/08 2:14:39 PM EET</t>
  </si>
  <si>
    <t>2022/01/08 2:32:59 PM EET</t>
  </si>
  <si>
    <t>powyżej 30 lat</t>
  </si>
  <si>
    <t>2022/01/08 2:37:59 PM EET</t>
  </si>
  <si>
    <t>2022/01/08 4:01:05 PM EET</t>
  </si>
  <si>
    <t>2022/01/08 4:52:00 PM EET</t>
  </si>
  <si>
    <t>2022/01/08 8:37:52 PM EET</t>
  </si>
  <si>
    <t>2022/01/08 9:24:51 PM EET</t>
  </si>
  <si>
    <t>2022/01/08 10:26:28 PM EET</t>
  </si>
  <si>
    <t>2022/01/09 12:00:44 AM EET</t>
  </si>
  <si>
    <t>2022/01/09 11:45:45 AM EET</t>
  </si>
  <si>
    <t>2022/01/09 2:52:32 PM EET</t>
  </si>
  <si>
    <t>2022/01/09 3:26:50 PM EET</t>
  </si>
  <si>
    <t>2022/01/09 3:44:59 PM EET</t>
  </si>
  <si>
    <t>2022/01/09 4:54:24 PM EET</t>
  </si>
  <si>
    <t>2022/01/09 8:02:00 PM EET</t>
  </si>
  <si>
    <t>2022/01/10 9:45:45 AM EET</t>
  </si>
  <si>
    <t>2022/01/10 11:18:44 AM EET</t>
  </si>
  <si>
    <t>2022/01/10 3:56:40 PM EET</t>
  </si>
  <si>
    <t>2022/01/11 12:57:36 PM EET</t>
  </si>
  <si>
    <t>2022/01/11 1:28:24 PM EET</t>
  </si>
  <si>
    <t>2022/01/11 7:29:39 PM EET</t>
  </si>
  <si>
    <t>2022/01/12 12:29:53 AM EET</t>
  </si>
  <si>
    <t>2022/01/12 7:29:50 PM EET</t>
  </si>
  <si>
    <t>2022/01/12 9:35:54 PM EET</t>
  </si>
  <si>
    <t>2022/01/12 10:19:51 PM EET</t>
  </si>
  <si>
    <t>2022/01/12 10:38:41 PM EET</t>
  </si>
  <si>
    <t>2022/01/13 12:19:53 AM EET</t>
  </si>
  <si>
    <t>2022/01/13 12:51:17 AM EET</t>
  </si>
  <si>
    <t>2022/01/13 1:49:42 PM EET</t>
  </si>
  <si>
    <t>2022/01/14 9:31:33 AM EET</t>
  </si>
  <si>
    <t>2022/01/14 3:11:00 PM EET</t>
  </si>
  <si>
    <t>2022/01/15 12:07:03 PM EET</t>
  </si>
  <si>
    <t>2022/01/16 1:03:27 AM EET</t>
  </si>
  <si>
    <t>2022/01/25 12:21:14 PM EET</t>
  </si>
  <si>
    <t>2022/01/25 5:17:56 PM EET</t>
  </si>
  <si>
    <t>2022/01/25 9:43:39 PM EET</t>
  </si>
  <si>
    <t>2022/01/25 9:46:34 PM EET</t>
  </si>
  <si>
    <t>2022/01/25 9:47:18 PM EET</t>
  </si>
  <si>
    <t>2022/01/25 9:54:51 PM EET</t>
  </si>
  <si>
    <t>2022/01/25 10:00:59 PM EET</t>
  </si>
  <si>
    <t>2022/01/25 10:11:08 PM EET</t>
  </si>
  <si>
    <t>2022/01/25 10:19:49 PM EET</t>
  </si>
  <si>
    <t>2022/01/25 10:27:17 PM EET</t>
  </si>
  <si>
    <t>2022/01/25 10:46:15 PM EET</t>
  </si>
  <si>
    <t>2022/01/25 11:00:44 PM EET</t>
  </si>
  <si>
    <t>2022/01/25 11:15:21 PM EET</t>
  </si>
  <si>
    <t>2022/01/25 11:40:33 PM EET</t>
  </si>
  <si>
    <t>2022/01/25 11:50:41 PM EET</t>
  </si>
  <si>
    <t>kurs kawlifikacyjny;kurs specjalistyczny</t>
  </si>
  <si>
    <t>2022/01/26 12:19:54 PM EET</t>
  </si>
  <si>
    <t>2022/01/26 2:09:34 PM EET</t>
  </si>
  <si>
    <t>2022/01/26 5:54:05 PM EET</t>
  </si>
  <si>
    <t>2022/01/26 8:25:59 PM EET</t>
  </si>
  <si>
    <t>specjalizacja;kurs specjalistyczny;nie związane z medycyną</t>
  </si>
  <si>
    <t>2022/01/26 11:46:09 PM EET</t>
  </si>
  <si>
    <t>2022/01/27 1:02:16 AM EET</t>
  </si>
  <si>
    <t>2022/01/27 5:20:50 AM EET</t>
  </si>
  <si>
    <t>2022/01/27 5:57:23 AM EET</t>
  </si>
  <si>
    <t>wdowa/iec</t>
  </si>
  <si>
    <t>2022/01/27 4:16:01 PM EET</t>
  </si>
  <si>
    <t>specjalizacja;nie związane z medycyną</t>
  </si>
  <si>
    <t>2022/01/27 5:21:04 PM EET</t>
  </si>
  <si>
    <t>choroby przewlekłe;choroby współisniejace</t>
  </si>
  <si>
    <t>2022/01/28 7:44:20 PM EET</t>
  </si>
  <si>
    <t>2022/01/29 7:12:31 PM EET</t>
  </si>
  <si>
    <t>2022/01/30 4:13:59 PM EET</t>
  </si>
  <si>
    <t>2022/01/30 4:49:41 PM EET</t>
  </si>
  <si>
    <t>2022/01/30 5:35:42 PM EET</t>
  </si>
  <si>
    <t>2022/01/30 6:15:36 PM EET</t>
  </si>
  <si>
    <t>2022/01/30 7:14:20 PM EET</t>
  </si>
  <si>
    <t>2022/01/30 8:13:08 PM EET</t>
  </si>
  <si>
    <t>2022/01/30 11:01:27 PM EET</t>
  </si>
  <si>
    <t>2022/01/31 10:56:03 AM EET</t>
  </si>
  <si>
    <t>2022/01/31 10:56:25 AM EET</t>
  </si>
  <si>
    <t>2022/02/01 5:42:40 PM EET</t>
  </si>
  <si>
    <t>2022/02/02 10:56:16 AM EET</t>
  </si>
  <si>
    <t>2022/02/02 11:00:04 AM EET</t>
  </si>
  <si>
    <t>2022/02/02 11:16:06 AM EET</t>
  </si>
  <si>
    <t>2022/02/02 11:37:58 AM EET</t>
  </si>
  <si>
    <t>2022/02/02 12:20:14 PM EET</t>
  </si>
  <si>
    <t>2022/02/02 11:40:07 PM EET</t>
  </si>
  <si>
    <t>2022/02/03 10:42:59 PM EET</t>
  </si>
  <si>
    <t>2022/02/05 5:04:14 PM EET</t>
  </si>
  <si>
    <t>2022/02/06 8:32:02 PM EET</t>
  </si>
  <si>
    <t>2022/02/07 9:21:24 PM EET</t>
  </si>
  <si>
    <t>2022/02/16 11:12:43 PM EET</t>
  </si>
  <si>
    <t>2022/02/16 11:36:09 PM EET</t>
  </si>
  <si>
    <t>2022/02/16 11:45:29 PM EET</t>
  </si>
  <si>
    <t>kurs kawlifikacyjny;kurs specjalistyczny;nie związane z medycyną</t>
  </si>
  <si>
    <t>2022/02/17 4:41:14 PM EET</t>
  </si>
  <si>
    <t>2022/02/17 6:24:28 PM EET</t>
  </si>
  <si>
    <t>2022/02/18 11:02:15 AM EET</t>
  </si>
  <si>
    <t>2022/02/18 12:20:00 PM EET</t>
  </si>
  <si>
    <t>2022/02/19 5:57:55 PM EET</t>
  </si>
  <si>
    <t>2022/02/23 2:13:17 AM EET</t>
  </si>
  <si>
    <t>2022/03/13 10:47:36 AM EET</t>
  </si>
  <si>
    <t>2022/03/31 5:47:01 PM EET</t>
  </si>
  <si>
    <t>konflikt</t>
  </si>
  <si>
    <t>Ho</t>
  </si>
  <si>
    <t>nie ma zaleznosci pomiedzy iloscia godzin a konfliktem</t>
  </si>
  <si>
    <t>H1</t>
  </si>
  <si>
    <t>jest zaleznosc pomiedzy iloscią godzin a konfliktem</t>
  </si>
  <si>
    <t>przyjmujemy  poziom istotności alfa = 0,05</t>
  </si>
  <si>
    <t>wartosc rzeczywista</t>
  </si>
  <si>
    <t>wartosci oczekiwane</t>
  </si>
  <si>
    <t>czas</t>
  </si>
  <si>
    <t>do 170</t>
  </si>
  <si>
    <t>powyzej 170</t>
  </si>
  <si>
    <t>wystepuje</t>
  </si>
  <si>
    <t>nie wystepuje</t>
  </si>
  <si>
    <t>O</t>
  </si>
  <si>
    <t>X2</t>
  </si>
  <si>
    <t>z tabeli</t>
  </si>
  <si>
    <t>alfa = 0,05</t>
  </si>
  <si>
    <t>l.s.s = 1</t>
  </si>
  <si>
    <t xml:space="preserve">z tabeli </t>
  </si>
  <si>
    <t>alfa = 0,02</t>
  </si>
  <si>
    <t>l.s.s. = 1</t>
  </si>
  <si>
    <t>do 239</t>
  </si>
  <si>
    <t>pow 240</t>
  </si>
  <si>
    <t>alfa 0,05</t>
  </si>
  <si>
    <t>l.s.s = 2</t>
  </si>
  <si>
    <t>słuszna jest hipoteza H1</t>
  </si>
  <si>
    <t>wartosc krytyczna z tabeli jest mniejsza od wartosci obliczonej</t>
  </si>
  <si>
    <t>obliczona</t>
  </si>
  <si>
    <t>istnieje korelacja pomiędzy ilośćią ponadnormatywnych godzin pracy a nasileniem konfliktów na lini praca-rodzina</t>
  </si>
  <si>
    <t>przynosi</t>
  </si>
  <si>
    <t>pyt 10</t>
  </si>
  <si>
    <t>pzrynosi prace do domu</t>
  </si>
  <si>
    <t>nie</t>
  </si>
  <si>
    <t>nie m. z.</t>
  </si>
  <si>
    <t xml:space="preserve">H0 </t>
  </si>
  <si>
    <t>nie istnieje relacja pomiedzy iloscia godzin pracy a przynoszeniem pracy do domu</t>
  </si>
  <si>
    <t>istnieje zaleznosc</t>
  </si>
  <si>
    <t>l.s.s.=8</t>
  </si>
  <si>
    <t>ponieważ obliczona wartosc jest  mniejsza niż wartosc graniczna z tablicy</t>
  </si>
  <si>
    <t>nie można odrzucic hipotezy zerowej H0</t>
  </si>
  <si>
    <t>p</t>
  </si>
  <si>
    <t>obliczone</t>
  </si>
  <si>
    <t>J</t>
  </si>
  <si>
    <t>godzin</t>
  </si>
  <si>
    <t>do 169</t>
  </si>
  <si>
    <t>do 199</t>
  </si>
  <si>
    <t>3 x 5</t>
  </si>
  <si>
    <t>agregacja</t>
  </si>
  <si>
    <t>3 x 2</t>
  </si>
  <si>
    <t>200 i więcej</t>
  </si>
  <si>
    <t>bez agregacji</t>
  </si>
  <si>
    <t>zdecy nie</t>
  </si>
  <si>
    <t>zdecy tak</t>
  </si>
  <si>
    <t>oczekiwane</t>
  </si>
  <si>
    <t>X^2</t>
  </si>
  <si>
    <t xml:space="preserve">X^2 </t>
  </si>
  <si>
    <t>lss</t>
  </si>
  <si>
    <t>alfa</t>
  </si>
  <si>
    <t>X^2 gran</t>
  </si>
  <si>
    <t>agregacja *</t>
  </si>
  <si>
    <t xml:space="preserve">agregacja </t>
  </si>
  <si>
    <t>pomija nmz</t>
  </si>
  <si>
    <t>traktuje nmz</t>
  </si>
  <si>
    <t>jak tak</t>
  </si>
  <si>
    <t>rel 1</t>
  </si>
  <si>
    <t>rel2</t>
  </si>
  <si>
    <t>z fun excela</t>
  </si>
  <si>
    <t>chi</t>
  </si>
  <si>
    <t>chiinv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</si>
</sst>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0" fillId="0" borderId="0" xfId="0" applyFill="1"/>
    <xf numFmtId="0" fontId="0" fillId="3" borderId="0" xfId="0" applyFill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/>
    <xf numFmtId="0" fontId="0" fillId="8" borderId="1" xfId="0" applyFont="1" applyFill="1" applyBorder="1"/>
    <xf numFmtId="0" fontId="0" fillId="0" borderId="1" xfId="0" applyFont="1" applyBorder="1"/>
    <xf numFmtId="0" fontId="0" fillId="9" borderId="0" xfId="0" applyFill="1"/>
    <xf numFmtId="0" fontId="0" fillId="10" borderId="0" xfId="0" applyFill="1"/>
    <xf numFmtId="0" fontId="0" fillId="4" borderId="0" xfId="0" applyFill="1"/>
    <xf numFmtId="49" fontId="0" fillId="4" borderId="0" xfId="0" applyNumberFormat="1" applyFill="1"/>
    <xf numFmtId="0" fontId="0" fillId="11" borderId="0" xfId="0" applyFill="1"/>
    <xf numFmtId="0" fontId="0" fillId="12" borderId="0" xfId="0" applyFill="1"/>
    <xf numFmtId="164" fontId="0" fillId="0" borderId="0" xfId="0" applyNumberFormat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196EF-91B0-2D40-9F4B-A2FE1ABECB2A}" name="Tabela1" displayName="Tabela1" ref="A3:AR118" totalsRowShown="0">
  <autoFilter ref="A3:AR118" xr:uid="{B50196EF-91B0-2D40-9F4B-A2FE1ABECB2A}"/>
  <sortState xmlns:xlrd2="http://schemas.microsoft.com/office/spreadsheetml/2017/richdata2" ref="A4:AR118">
    <sortCondition ref="C3:C118"/>
  </sortState>
  <tableColumns count="44">
    <tableColumn id="1" xr3:uid="{6D98187B-41D7-2D40-8457-2C6B0AA67356}" name="Sygnatura czasowa"/>
    <tableColumn id="2" xr3:uid="{28F34C97-1352-DC42-AE64-8C8DFCD8CA2D}" name=" Płeć"/>
    <tableColumn id="3" xr3:uid="{B45EF361-E181-EF4D-A8DA-C6D7B93B220C}" name="Wiek"/>
    <tableColumn id="4" xr3:uid="{443F7378-A32A-7F4F-AE6A-CDA6422BDD60}" name="Wykształcenie"/>
    <tableColumn id="5" xr3:uid="{908BD9D1-168F-4D49-957D-E2BF91DE74B8}" name="Kształcenie podyplomowe"/>
    <tableColumn id="6" xr3:uid="{9F92B105-0552-E349-ADB0-93866AA812E3}" name="Stan cywilny"/>
    <tableColumn id="7" xr3:uid="{7C3AA3BA-7C3A-874D-B47E-0180B4EA6D22}" name="Miejsce zamieszkania"/>
    <tableColumn id="8" xr3:uid="{F07E440F-667E-D148-B95B-406D7A36156D}" name="1. Czy pracuję  Pan/i w zawodzie pielęgniarki / pielęgniarza?"/>
    <tableColumn id="9" xr3:uid="{675D027B-2D4B-3743-A7E0-AD765C97B7A8}" name="2.  W ilu miejscach pracy, obecnie Pan/i, jest zatrudniony/a?"/>
    <tableColumn id="10" xr3:uid="{0F749AE0-74B5-6145-831C-CC6737B5F091}" name="3. Ile, w przybliżeniu, wynosi miesięczny wymiar godzin, Pana/i pracy?"/>
    <tableColumn id="11" xr3:uid="{67BD3386-9688-6A4C-9EBD-5B2EB8D716F5}" name="4, Czy w podstawowym miejscu zatrudnienia, świadczy  Pan/i usługi, w systemie pracy?"/>
    <tableColumn id="12" xr3:uid="{E00FCAC5-E2E2-1A4B-89C7-8B92AC8B819B}" name="5.  Czy jest Pan/i zadowolona/y, z wyboru drogi zawodowej?"/>
    <tableColumn id="13" xr3:uid="{EAB9C5D7-992D-F84D-B549-975B25407A5B}" name="6. Proszę podać, w przybliżeniu staż pracy, w jednej specjalizacji zawodowej (na jednym oddziale)."/>
    <tableColumn id="14" xr3:uid="{B9BFE31D-DB8C-A24B-897A-F3EFC0118DD7}" name="7. Czy  środowisko  Pana/i pracy, jest wspierające?"/>
    <tableColumn id="15" xr3:uid="{142E5553-AA09-5146-A0E0-5361067EDC18}" name="8. Czy środowisko Pana/i pracy, jest ,,toksyczne&quot;( występuje mobbing,hejt)?"/>
    <tableColumn id="16" xr3:uid="{2BE614F1-0BF3-9043-B06F-7F6A1CA8EDC0}" name="9. Czy zakład pracy, w którym Pan/i pracuje stosuje systemy motywacyjne?"/>
    <tableColumn id="17" xr3:uid="{CDD87F48-E1ED-A34B-8826-87FD7E806A7F}" name="10. Czy przynosi Pan/i , ,,pracę&quot; do domu, w postaci emocji i myśli?"/>
    <tableColumn id="18" xr3:uid="{F8C5B551-7227-A94F-AADF-5637F848309E}" name="11.  Czy doświadcza Pan/i, zjawiska określanego jako traumatyzacja wtórna (odczuwanie, objawów psychicznych - smutek, żal, poczucie bezradności, stres) oraz objawów somatycznych, po wystąpieniu trudnej, dramatycznej sytuacji w pracy, powyżej 30 dni?"/>
    <tableColumn id="19" xr3:uid="{BC905619-5C46-E442-B4A7-61B9666EFA1F}" name="12. Czy potrafi Pan/i, niwelować w.w objawy, za pomocą technik psychologicznych?"/>
    <tableColumn id="20" xr3:uid="{A3006710-FB91-2149-BF9B-6E9CEE0F6B1B}" name="13. Czy, w celu radzenia sobie ze stresem związanym z pracą zawodową, sięga Pan/i po używki?"/>
    <tableColumn id="21" xr3:uid="{5648B5BD-193F-CF4F-A178-3A2365E41C78}" name="14.Czy czuje Pan/i, dylemat wewnętrzny, wynikający z konieczności ciągłego podnoszenia kwalifikacji i wiążącymi się z nim ograniczeniami w życiu osobistym?"/>
    <tableColumn id="22" xr3:uid="{67937BBF-663D-904D-B025-08BEF2AEB928}" name="15. Czy czuję Pan/i presję społeczną, wynikającą z oczekiwań wobec Systemu Ochrony Zdrowia?"/>
    <tableColumn id="23" xr3:uid="{E4885345-D63C-B845-8027-7E1DFC42AC42}" name="16. Czy doświadczył Pan/i przemocy słownej, fizycznej ze strony pacjenta?"/>
    <tableColumn id="24" xr3:uid="{0D7729A1-7AAE-1A41-B94D-D1F77FB28A05}" name="17. Czy kiedykolwiek uczestniczył /a Pan/i w postępowaniu dochodzeniowym z tytułu roszczenia pacjenta ?"/>
    <tableColumn id="25" xr3:uid="{8B2CCBFE-F07B-EE4E-9DAD-9C09A388F780}" name="18. Czy ma Pan/i poczucie bezpieczeństwa w pracy w zagrożeniu koronawirusem?"/>
    <tableColumn id="26" xr3:uid="{9DDB664C-F5FB-7943-9AFD-BC92609D4A98}" name="19. Czy popiera Pan/i działania przedstawicieli zawodu zmierzające do poprawy sytuacji pielęgniarek i położnych w Polsce ( marsze, strajki)?"/>
    <tableColumn id="27" xr3:uid="{64BD7C8F-E759-9946-8702-1A79D027B70E}" name="20. Czy odczuwa Pan/i satysfakcję, wynikającą z autonomii zawodu  - nabywania kompetencji, uprawnień, prowadzenia badań naukowych?"/>
    <tableColumn id="28" xr3:uid="{C2E102E1-8C4F-B545-B17A-F6778305A224}" name="21. Czy uważa Pan/i, że nowe kompetencje pielęgniarskie nie są właściwie wykorzystane w Systemie Ochrony Zdrowia?"/>
    <tableColumn id="29" xr3:uid="{71C2BA74-FEE6-694C-ADDF-ADEC85BE7E77}" name="22. Czy odczuwa Pan/i potrzebę, korzystania ze wsparcia psychologicznego dla pracowników medycznych?"/>
    <tableColumn id="30" xr3:uid="{F2B60F13-3BBB-5F4F-BB9E-46831831209C}" name="23. Czy posiada Pan/i pasję pozazawodową, którą rozwija ?"/>
    <tableColumn id="31" xr3:uid="{AF7D5323-797C-BD44-89D9-BFCCAFD53CEA}" name="24.  Czy czynnie uczestniczy, Pan/i w życiu rodzinnym i imprezach okolicznościowych przyjaciół?"/>
    <tableColumn id="32" xr3:uid="{1160B312-3F4B-A145-B2B9-34482C9DCCAB}" name="25. Czy Pana/i,partner/ka pracuje w Systemie Opieki Zdrowotnej?"/>
    <tableColumn id="33" xr3:uid="{F72C3D0F-E10C-3143-AE21-CB8174ADB07C}" name="26. Czy rodzina wspiera Pana/ią, w godzeniu obowiązków domowych z pracą?"/>
    <tableColumn id="34" xr3:uid="{775C5837-3A72-174D-BC9B-3A1E4DFB66CA}" name="27. Czy w Pana/i życiu przeważa?"/>
    <tableColumn id="35" xr3:uid="{1889CD0E-C4A1-C24D-9CB6-1E9A56FB6CDB}" name="28. Czy  Pana/i praca zawodowa, jest powodem niezgody z życiowym partnerem?"/>
    <tableColumn id="36" xr3:uid="{3C9D36F8-0DA3-1846-B08E-1FD062BF7B26}" name="29. Czy zna Pan/i, pielęgniarki/pielęgniarzy, u których, doszło do rozpadu związku z powodu, pracy w zawodzie?"/>
    <tableColumn id="37" xr3:uid="{2269822C-551E-E646-A454-278DA7308E77}" name="29. Czy kiedykolwiek rozważał/a Pan/i, rezygnację z zawodu na rzecz szczęścia rodziny?"/>
    <tableColumn id="38" xr3:uid="{6752832A-DE5A-BE49-9F11-8D31B40D2666}" name="30. Czy  zdarza się, że pracuje Pan/i, mimo wystąpienia własnej choroby, choroby członka rodziny?"/>
    <tableColumn id="39" xr3:uid="{E2348C02-86FF-944D-A430-5614DAD6D6D2}" name="31. Czy korzysta Pan/i  ze zwolnienia L4, gdy są do tego wskazania?"/>
    <tableColumn id="40" xr3:uid="{47170601-4183-B24C-8FC8-347C065A403F}" name="32.  Czy choruje Pan/i  na ?"/>
    <tableColumn id="41" xr3:uid="{33B3AC48-6766-B849-855B-284D470815AB}" name="33. Czy empatia, była głównym kryterium wyboru zawodu, przez Pana/nią?"/>
    <tableColumn id="42" xr3:uid="{0D6816EF-BED3-964A-B6E1-4C33A98DB248}" name="34. Czy uważa Pan/i, że jest wypalona zawodowo?"/>
    <tableColumn id="43" xr3:uid="{92B1FF32-C2EE-F145-AD6C-58630BBECC7D}" name="35. Czy z perspektywy czasu uważa Pan/i, że dokonał/a dobrego wyboru ścieżki zawodowej?"/>
    <tableColumn id="44" xr3:uid="{46AC1FDD-22FC-B645-B0F6-C9027190A99F}" name="36.  Czy gdyby Pana/i dziecko, zdecydowało się spełniać w pielęgniarstwie, wspierałby je Pan/i  w tym wyborz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C3E2-E81A-8148-A7BA-51D85CC49F25}">
  <sheetPr codeName="Arkusz1"/>
  <dimension ref="A3:BQ118"/>
  <sheetViews>
    <sheetView tabSelected="1" topLeftCell="AR1" workbookViewId="0">
      <selection activeCell="AR2" sqref="AR2"/>
    </sheetView>
  </sheetViews>
  <sheetFormatPr baseColWidth="10" defaultRowHeight="16" x14ac:dyDescent="0.2"/>
  <cols>
    <col min="1" max="1" width="28.1640625" customWidth="1"/>
    <col min="2" max="2" width="11.6640625" customWidth="1"/>
    <col min="3" max="3" width="19.5" customWidth="1"/>
    <col min="4" max="4" width="23.5" customWidth="1"/>
    <col min="5" max="5" width="65.1640625" customWidth="1"/>
    <col min="6" max="6" width="25.33203125" customWidth="1"/>
    <col min="7" max="7" width="29.1640625" customWidth="1"/>
    <col min="8" max="8" width="53.33203125" customWidth="1"/>
    <col min="9" max="9" width="53.1640625" customWidth="1"/>
    <col min="10" max="10" width="61.83203125" customWidth="1"/>
    <col min="11" max="11" width="76.1640625" customWidth="1"/>
    <col min="12" max="12" width="53.33203125" customWidth="1"/>
    <col min="13" max="13" width="84.33203125" customWidth="1"/>
    <col min="14" max="14" width="45.33203125" customWidth="1"/>
    <col min="15" max="15" width="66.1640625" customWidth="1"/>
    <col min="16" max="16" width="66" customWidth="1"/>
    <col min="17" max="17" width="58.83203125" customWidth="1"/>
    <col min="18" max="18" width="85.6640625" customWidth="1"/>
    <col min="19" max="19" width="72.5" customWidth="1"/>
    <col min="20" max="20" width="83" customWidth="1"/>
    <col min="21" max="21" width="85.6640625" customWidth="1"/>
    <col min="22" max="22" width="82.6640625" customWidth="1"/>
    <col min="23" max="23" width="64.6640625" customWidth="1"/>
    <col min="24" max="24" width="85.6640625" customWidth="1"/>
    <col min="25" max="25" width="71" customWidth="1"/>
    <col min="26" max="29" width="85.6640625" customWidth="1"/>
    <col min="30" max="30" width="52.33203125" customWidth="1"/>
    <col min="31" max="31" width="82.5" customWidth="1"/>
    <col min="32" max="32" width="57.83203125" customWidth="1"/>
    <col min="33" max="33" width="67.6640625" customWidth="1"/>
    <col min="34" max="34" width="31.1640625" customWidth="1"/>
    <col min="35" max="35" width="70.83203125" customWidth="1"/>
    <col min="36" max="36" width="85.6640625" customWidth="1"/>
    <col min="37" max="37" width="76" customWidth="1"/>
    <col min="38" max="38" width="84.5" customWidth="1"/>
    <col min="39" max="39" width="59.33203125" customWidth="1"/>
    <col min="40" max="40" width="37.33203125" bestFit="1" customWidth="1"/>
    <col min="41" max="41" width="65.6640625" customWidth="1"/>
    <col min="42" max="42" width="45.1640625" customWidth="1"/>
    <col min="43" max="43" width="79.83203125" customWidth="1"/>
    <col min="44" max="44" width="85.6640625" customWidth="1"/>
    <col min="46" max="46" width="21.5" customWidth="1"/>
    <col min="47" max="47" width="15.33203125" customWidth="1"/>
    <col min="71" max="71" width="12.1640625" bestFit="1" customWidth="1"/>
  </cols>
  <sheetData>
    <row r="3" spans="1:69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 t="s">
        <v>39</v>
      </c>
      <c r="AO3" t="s">
        <v>40</v>
      </c>
      <c r="AP3" t="s">
        <v>41</v>
      </c>
      <c r="AQ3" t="s">
        <v>42</v>
      </c>
      <c r="AR3" t="s">
        <v>43</v>
      </c>
      <c r="AT3" t="str">
        <f>AL3</f>
        <v>30. Czy  zdarza się, że pracuje Pan/i, mimo wystąpienia własnej choroby, choroby członka rodziny?</v>
      </c>
      <c r="AU3" t="s">
        <v>270</v>
      </c>
      <c r="AV3" t="s">
        <v>271</v>
      </c>
      <c r="AZ3" s="18" t="s">
        <v>278</v>
      </c>
      <c r="BB3" s="16">
        <v>149</v>
      </c>
      <c r="BC3" s="16">
        <v>169</v>
      </c>
      <c r="BD3" s="16">
        <v>199</v>
      </c>
      <c r="BE3" s="16">
        <v>239</v>
      </c>
      <c r="BF3" s="16">
        <v>259</v>
      </c>
      <c r="BG3" s="16">
        <v>279</v>
      </c>
    </row>
    <row r="4" spans="1:69" x14ac:dyDescent="0.2">
      <c r="A4" t="s">
        <v>162</v>
      </c>
      <c r="B4" t="s">
        <v>45</v>
      </c>
      <c r="C4" t="s">
        <v>65</v>
      </c>
      <c r="D4" t="s">
        <v>47</v>
      </c>
      <c r="E4" t="s">
        <v>126</v>
      </c>
      <c r="F4" t="s">
        <v>67</v>
      </c>
      <c r="G4" t="s">
        <v>89</v>
      </c>
      <c r="H4" t="s">
        <v>69</v>
      </c>
      <c r="I4" t="s">
        <v>70</v>
      </c>
      <c r="J4" t="s">
        <v>79</v>
      </c>
      <c r="K4" t="s">
        <v>54</v>
      </c>
      <c r="L4" t="s">
        <v>58</v>
      </c>
      <c r="M4" t="s">
        <v>72</v>
      </c>
      <c r="N4" t="s">
        <v>57</v>
      </c>
      <c r="O4" t="s">
        <v>85</v>
      </c>
      <c r="P4" t="s">
        <v>55</v>
      </c>
      <c r="Q4" t="s">
        <v>55</v>
      </c>
      <c r="R4" t="s">
        <v>55</v>
      </c>
      <c r="S4" t="s">
        <v>57</v>
      </c>
      <c r="T4" t="s">
        <v>59</v>
      </c>
      <c r="U4" t="s">
        <v>55</v>
      </c>
      <c r="V4" t="s">
        <v>57</v>
      </c>
      <c r="W4" t="s">
        <v>58</v>
      </c>
      <c r="X4" t="s">
        <v>55</v>
      </c>
      <c r="Y4" t="s">
        <v>57</v>
      </c>
      <c r="Z4" t="s">
        <v>57</v>
      </c>
      <c r="AA4" t="s">
        <v>57</v>
      </c>
      <c r="AB4" t="s">
        <v>73</v>
      </c>
      <c r="AC4" t="s">
        <v>59</v>
      </c>
      <c r="AD4" t="s">
        <v>57</v>
      </c>
      <c r="AE4" t="s">
        <v>58</v>
      </c>
      <c r="AF4" t="s">
        <v>60</v>
      </c>
      <c r="AG4" t="s">
        <v>57</v>
      </c>
      <c r="AH4" t="s">
        <v>61</v>
      </c>
      <c r="AI4" t="s">
        <v>59</v>
      </c>
      <c r="AJ4" t="s">
        <v>55</v>
      </c>
      <c r="AK4" t="s">
        <v>59</v>
      </c>
      <c r="AL4" t="s">
        <v>57</v>
      </c>
      <c r="AM4" t="s">
        <v>55</v>
      </c>
      <c r="AN4" t="s">
        <v>81</v>
      </c>
      <c r="AO4" t="s">
        <v>55</v>
      </c>
      <c r="AP4" t="s">
        <v>59</v>
      </c>
      <c r="AQ4" t="s">
        <v>58</v>
      </c>
      <c r="AR4" t="s">
        <v>58</v>
      </c>
      <c r="AT4" t="str">
        <f t="shared" ref="AT4:AT67" si="0">AL4</f>
        <v>raczej tak</v>
      </c>
      <c r="AU4" t="str">
        <f>J4</f>
        <v>do 149 godzin</v>
      </c>
      <c r="AV4">
        <f>WymiarGodzin(AU4)</f>
        <v>149</v>
      </c>
      <c r="AW4">
        <f>taknie2liczba(AT4)</f>
        <v>1</v>
      </c>
      <c r="AY4" t="s">
        <v>279</v>
      </c>
      <c r="AZ4" s="20">
        <v>-2</v>
      </c>
      <c r="BB4">
        <f t="array" ref="BB4:BB8">FREQUENCY(AW4:AW18,AZ4:AZ8)</f>
        <v>0</v>
      </c>
      <c r="BC4">
        <f t="array" ref="BC4:BC8">FREQUENCY(AW19:AW68,AZ4:AZ8)</f>
        <v>1</v>
      </c>
      <c r="BD4">
        <f t="array" ref="BD4:BD8">FREQUENCY(AW69:AW96,AZ4:AZ8)</f>
        <v>2</v>
      </c>
      <c r="BE4">
        <f t="array" ref="BE4:BE8">FREQUENCY(AW97:AW110,AZ4:AZ8)</f>
        <v>0</v>
      </c>
      <c r="BF4">
        <f t="array" ref="BF4:BF8">FREQUENCY(AW111:AW115,AZ4:AZ8)</f>
        <v>0</v>
      </c>
      <c r="BG4">
        <f t="array" ref="BG4:BG8">FREQUENCY(AW116:AW118,AZ4:AZ8)</f>
        <v>0</v>
      </c>
      <c r="BH4" s="10">
        <f>SUM(BB4:BG4)</f>
        <v>3</v>
      </c>
    </row>
    <row r="5" spans="1:69" x14ac:dyDescent="0.2">
      <c r="A5" t="s">
        <v>182</v>
      </c>
      <c r="B5" t="s">
        <v>45</v>
      </c>
      <c r="C5" t="s">
        <v>65</v>
      </c>
      <c r="D5" t="s">
        <v>47</v>
      </c>
      <c r="E5" t="s">
        <v>66</v>
      </c>
      <c r="F5" t="s">
        <v>77</v>
      </c>
      <c r="G5" t="s">
        <v>68</v>
      </c>
      <c r="H5" t="s">
        <v>78</v>
      </c>
      <c r="I5" t="s">
        <v>70</v>
      </c>
      <c r="J5" t="s">
        <v>79</v>
      </c>
      <c r="K5" t="s">
        <v>80</v>
      </c>
      <c r="L5" t="s">
        <v>73</v>
      </c>
      <c r="M5" t="s">
        <v>78</v>
      </c>
      <c r="N5" t="s">
        <v>73</v>
      </c>
      <c r="O5" t="s">
        <v>73</v>
      </c>
      <c r="P5" t="s">
        <v>59</v>
      </c>
      <c r="Q5" t="s">
        <v>57</v>
      </c>
      <c r="R5" t="s">
        <v>57</v>
      </c>
      <c r="S5" t="s">
        <v>55</v>
      </c>
      <c r="T5" t="s">
        <v>55</v>
      </c>
      <c r="U5" t="s">
        <v>58</v>
      </c>
      <c r="V5" t="s">
        <v>58</v>
      </c>
      <c r="W5" t="s">
        <v>58</v>
      </c>
      <c r="X5" t="s">
        <v>55</v>
      </c>
      <c r="Y5" t="s">
        <v>55</v>
      </c>
      <c r="Z5" t="s">
        <v>58</v>
      </c>
      <c r="AA5" t="s">
        <v>55</v>
      </c>
      <c r="AB5" t="s">
        <v>57</v>
      </c>
      <c r="AC5" t="s">
        <v>57</v>
      </c>
      <c r="AD5" t="s">
        <v>57</v>
      </c>
      <c r="AE5" t="s">
        <v>58</v>
      </c>
      <c r="AF5" t="s">
        <v>60</v>
      </c>
      <c r="AG5" t="s">
        <v>58</v>
      </c>
      <c r="AH5" t="s">
        <v>61</v>
      </c>
      <c r="AI5" t="s">
        <v>59</v>
      </c>
      <c r="AJ5" t="s">
        <v>59</v>
      </c>
      <c r="AK5" t="s">
        <v>73</v>
      </c>
      <c r="AL5" t="s">
        <v>57</v>
      </c>
      <c r="AM5" t="s">
        <v>58</v>
      </c>
      <c r="AN5" t="s">
        <v>81</v>
      </c>
      <c r="AO5" t="s">
        <v>59</v>
      </c>
      <c r="AP5" t="s">
        <v>55</v>
      </c>
      <c r="AQ5" t="s">
        <v>73</v>
      </c>
      <c r="AR5" t="s">
        <v>59</v>
      </c>
      <c r="AT5" t="str">
        <f t="shared" si="0"/>
        <v>raczej tak</v>
      </c>
      <c r="AU5" t="str">
        <f t="shared" ref="AU5:AU68" si="1">J5</f>
        <v>do 149 godzin</v>
      </c>
      <c r="AV5">
        <f t="shared" ref="AV5:AV68" si="2">WymiarGodzin(AU5)</f>
        <v>149</v>
      </c>
      <c r="AW5">
        <f t="shared" ref="AW5:AW68" si="3">taknie2liczba(AT5)</f>
        <v>1</v>
      </c>
      <c r="AZ5" s="20">
        <v>-1</v>
      </c>
      <c r="BA5" s="13"/>
      <c r="BB5">
        <v>4</v>
      </c>
      <c r="BC5">
        <v>7</v>
      </c>
      <c r="BD5">
        <v>5</v>
      </c>
      <c r="BE5">
        <v>1</v>
      </c>
      <c r="BF5">
        <v>0</v>
      </c>
      <c r="BG5">
        <v>0</v>
      </c>
      <c r="BH5" s="10">
        <f>SUM(BB5:BG5)</f>
        <v>17</v>
      </c>
    </row>
    <row r="6" spans="1:69" x14ac:dyDescent="0.2">
      <c r="A6" t="s">
        <v>209</v>
      </c>
      <c r="B6" t="s">
        <v>45</v>
      </c>
      <c r="C6" t="s">
        <v>65</v>
      </c>
      <c r="D6" t="s">
        <v>47</v>
      </c>
      <c r="E6" t="s">
        <v>103</v>
      </c>
      <c r="F6" t="s">
        <v>92</v>
      </c>
      <c r="G6" t="s">
        <v>68</v>
      </c>
      <c r="H6" t="s">
        <v>69</v>
      </c>
      <c r="I6" t="s">
        <v>70</v>
      </c>
      <c r="J6" t="s">
        <v>79</v>
      </c>
      <c r="K6" t="s">
        <v>80</v>
      </c>
      <c r="L6" t="s">
        <v>57</v>
      </c>
      <c r="M6" t="s">
        <v>78</v>
      </c>
      <c r="N6" t="s">
        <v>57</v>
      </c>
      <c r="O6" t="s">
        <v>104</v>
      </c>
      <c r="P6" t="s">
        <v>57</v>
      </c>
      <c r="Q6" t="s">
        <v>59</v>
      </c>
      <c r="R6" t="s">
        <v>55</v>
      </c>
      <c r="S6" t="s">
        <v>57</v>
      </c>
      <c r="T6" t="s">
        <v>59</v>
      </c>
      <c r="U6" t="s">
        <v>55</v>
      </c>
      <c r="V6" t="s">
        <v>55</v>
      </c>
      <c r="W6" t="s">
        <v>57</v>
      </c>
      <c r="X6" t="s">
        <v>55</v>
      </c>
      <c r="Y6" t="s">
        <v>57</v>
      </c>
      <c r="Z6" t="s">
        <v>58</v>
      </c>
      <c r="AA6" t="s">
        <v>55</v>
      </c>
      <c r="AB6" t="s">
        <v>57</v>
      </c>
      <c r="AC6" t="s">
        <v>57</v>
      </c>
      <c r="AD6" t="s">
        <v>57</v>
      </c>
      <c r="AE6" t="s">
        <v>57</v>
      </c>
      <c r="AF6" t="s">
        <v>60</v>
      </c>
      <c r="AG6" t="s">
        <v>57</v>
      </c>
      <c r="AH6" t="s">
        <v>61</v>
      </c>
      <c r="AI6" t="s">
        <v>55</v>
      </c>
      <c r="AJ6" t="s">
        <v>59</v>
      </c>
      <c r="AK6" t="s">
        <v>59</v>
      </c>
      <c r="AL6" t="s">
        <v>55</v>
      </c>
      <c r="AM6" t="s">
        <v>57</v>
      </c>
      <c r="AN6" t="s">
        <v>81</v>
      </c>
      <c r="AO6" t="s">
        <v>57</v>
      </c>
      <c r="AP6" t="s">
        <v>55</v>
      </c>
      <c r="AQ6" t="s">
        <v>57</v>
      </c>
      <c r="AR6" t="s">
        <v>58</v>
      </c>
      <c r="AT6" t="str">
        <f t="shared" si="0"/>
        <v>raczej nie</v>
      </c>
      <c r="AU6" t="str">
        <f t="shared" si="1"/>
        <v>do 149 godzin</v>
      </c>
      <c r="AV6">
        <f t="shared" si="2"/>
        <v>149</v>
      </c>
      <c r="AW6">
        <f t="shared" si="3"/>
        <v>-1</v>
      </c>
      <c r="AZ6" s="20">
        <v>0</v>
      </c>
      <c r="BA6" s="13"/>
      <c r="BB6">
        <v>0</v>
      </c>
      <c r="BC6">
        <v>2</v>
      </c>
      <c r="BD6">
        <v>0</v>
      </c>
      <c r="BE6">
        <v>0</v>
      </c>
      <c r="BF6">
        <v>0</v>
      </c>
      <c r="BG6">
        <v>1</v>
      </c>
      <c r="BH6" s="10">
        <f>SUM(BB6:BG6)</f>
        <v>3</v>
      </c>
    </row>
    <row r="7" spans="1:69" x14ac:dyDescent="0.2">
      <c r="A7" t="s">
        <v>136</v>
      </c>
      <c r="B7" t="s">
        <v>45</v>
      </c>
      <c r="C7" t="s">
        <v>65</v>
      </c>
      <c r="D7" t="s">
        <v>47</v>
      </c>
      <c r="E7" t="s">
        <v>66</v>
      </c>
      <c r="F7" t="s">
        <v>92</v>
      </c>
      <c r="G7" t="s">
        <v>93</v>
      </c>
      <c r="H7" t="s">
        <v>69</v>
      </c>
      <c r="I7" t="s">
        <v>70</v>
      </c>
      <c r="J7" t="s">
        <v>98</v>
      </c>
      <c r="K7" t="s">
        <v>54</v>
      </c>
      <c r="L7" t="s">
        <v>57</v>
      </c>
      <c r="M7" t="s">
        <v>72</v>
      </c>
      <c r="N7" t="s">
        <v>85</v>
      </c>
      <c r="O7" t="s">
        <v>57</v>
      </c>
      <c r="P7" t="s">
        <v>59</v>
      </c>
      <c r="Q7" t="s">
        <v>57</v>
      </c>
      <c r="R7" t="s">
        <v>55</v>
      </c>
      <c r="S7" t="s">
        <v>73</v>
      </c>
      <c r="T7" t="s">
        <v>55</v>
      </c>
      <c r="U7" t="s">
        <v>57</v>
      </c>
      <c r="V7" t="s">
        <v>58</v>
      </c>
      <c r="W7" t="s">
        <v>58</v>
      </c>
      <c r="X7" t="s">
        <v>59</v>
      </c>
      <c r="Y7" t="s">
        <v>55</v>
      </c>
      <c r="Z7" t="s">
        <v>58</v>
      </c>
      <c r="AA7" t="s">
        <v>58</v>
      </c>
      <c r="AB7" t="s">
        <v>58</v>
      </c>
      <c r="AC7" t="s">
        <v>58</v>
      </c>
      <c r="AD7" t="s">
        <v>58</v>
      </c>
      <c r="AE7" t="s">
        <v>58</v>
      </c>
      <c r="AF7" t="s">
        <v>60</v>
      </c>
      <c r="AG7" t="s">
        <v>57</v>
      </c>
      <c r="AH7" t="s">
        <v>61</v>
      </c>
      <c r="AI7" t="s">
        <v>59</v>
      </c>
      <c r="AJ7" t="s">
        <v>57</v>
      </c>
      <c r="AK7" t="s">
        <v>59</v>
      </c>
      <c r="AL7" t="s">
        <v>57</v>
      </c>
      <c r="AM7" t="s">
        <v>55</v>
      </c>
      <c r="AN7" t="s">
        <v>101</v>
      </c>
      <c r="AO7" t="s">
        <v>59</v>
      </c>
      <c r="AP7" t="s">
        <v>55</v>
      </c>
      <c r="AQ7" t="s">
        <v>57</v>
      </c>
      <c r="AR7" t="s">
        <v>57</v>
      </c>
      <c r="AT7" t="str">
        <f t="shared" si="0"/>
        <v>raczej tak</v>
      </c>
      <c r="AU7" t="str">
        <f t="shared" si="1"/>
        <v>od 150 do 169 godzin</v>
      </c>
      <c r="AV7">
        <f t="shared" si="2"/>
        <v>169</v>
      </c>
      <c r="AW7">
        <f t="shared" si="3"/>
        <v>1</v>
      </c>
      <c r="AZ7" s="20">
        <v>1</v>
      </c>
      <c r="BA7" s="13"/>
      <c r="BB7">
        <v>4</v>
      </c>
      <c r="BC7">
        <v>25</v>
      </c>
      <c r="BD7">
        <v>16</v>
      </c>
      <c r="BE7">
        <v>8</v>
      </c>
      <c r="BF7">
        <v>2</v>
      </c>
      <c r="BG7">
        <v>2</v>
      </c>
      <c r="BH7" s="10">
        <f>SUM(BB7:BG7)</f>
        <v>57</v>
      </c>
    </row>
    <row r="8" spans="1:69" x14ac:dyDescent="0.2">
      <c r="A8" t="s">
        <v>141</v>
      </c>
      <c r="B8" t="s">
        <v>45</v>
      </c>
      <c r="C8" t="s">
        <v>65</v>
      </c>
      <c r="D8" t="s">
        <v>47</v>
      </c>
      <c r="E8" t="s">
        <v>126</v>
      </c>
      <c r="F8" t="s">
        <v>49</v>
      </c>
      <c r="G8" t="s">
        <v>89</v>
      </c>
      <c r="H8" t="s">
        <v>69</v>
      </c>
      <c r="I8" t="s">
        <v>70</v>
      </c>
      <c r="J8" t="s">
        <v>98</v>
      </c>
      <c r="K8" t="s">
        <v>54</v>
      </c>
      <c r="L8" t="s">
        <v>58</v>
      </c>
      <c r="M8" t="s">
        <v>72</v>
      </c>
      <c r="N8" t="s">
        <v>57</v>
      </c>
      <c r="O8" t="s">
        <v>85</v>
      </c>
      <c r="P8" t="s">
        <v>73</v>
      </c>
      <c r="Q8" t="s">
        <v>73</v>
      </c>
      <c r="R8" t="s">
        <v>73</v>
      </c>
      <c r="S8" t="s">
        <v>73</v>
      </c>
      <c r="T8" t="s">
        <v>73</v>
      </c>
      <c r="U8" t="s">
        <v>55</v>
      </c>
      <c r="V8" t="s">
        <v>55</v>
      </c>
      <c r="W8" t="s">
        <v>73</v>
      </c>
      <c r="X8" t="s">
        <v>59</v>
      </c>
      <c r="Y8" t="s">
        <v>57</v>
      </c>
      <c r="Z8" t="s">
        <v>58</v>
      </c>
      <c r="AA8" t="s">
        <v>73</v>
      </c>
      <c r="AB8" t="s">
        <v>57</v>
      </c>
      <c r="AC8" t="s">
        <v>73</v>
      </c>
      <c r="AD8" t="s">
        <v>57</v>
      </c>
      <c r="AE8" t="s">
        <v>57</v>
      </c>
      <c r="AF8" t="s">
        <v>60</v>
      </c>
      <c r="AG8" t="s">
        <v>58</v>
      </c>
      <c r="AH8" t="s">
        <v>61</v>
      </c>
      <c r="AI8" t="s">
        <v>73</v>
      </c>
      <c r="AJ8" t="s">
        <v>59</v>
      </c>
      <c r="AK8" t="s">
        <v>73</v>
      </c>
      <c r="AL8" t="s">
        <v>55</v>
      </c>
      <c r="AM8" t="s">
        <v>57</v>
      </c>
      <c r="AN8" t="s">
        <v>62</v>
      </c>
      <c r="AO8" t="s">
        <v>73</v>
      </c>
      <c r="AP8" t="s">
        <v>59</v>
      </c>
      <c r="AQ8" t="s">
        <v>58</v>
      </c>
      <c r="AR8" t="s">
        <v>73</v>
      </c>
      <c r="AT8" t="str">
        <f t="shared" si="0"/>
        <v>raczej nie</v>
      </c>
      <c r="AU8" t="str">
        <f t="shared" si="1"/>
        <v>od 150 do 169 godzin</v>
      </c>
      <c r="AV8">
        <f t="shared" si="2"/>
        <v>169</v>
      </c>
      <c r="AW8">
        <f t="shared" si="3"/>
        <v>-1</v>
      </c>
      <c r="AY8" t="s">
        <v>280</v>
      </c>
      <c r="AZ8" s="20">
        <v>2</v>
      </c>
      <c r="BA8" s="13"/>
      <c r="BB8">
        <v>7</v>
      </c>
      <c r="BC8">
        <v>15</v>
      </c>
      <c r="BD8">
        <v>5</v>
      </c>
      <c r="BE8">
        <v>5</v>
      </c>
      <c r="BF8">
        <v>3</v>
      </c>
      <c r="BG8">
        <v>0</v>
      </c>
      <c r="BH8" s="10">
        <f>SUM(BB8:BG8)</f>
        <v>35</v>
      </c>
    </row>
    <row r="9" spans="1:69" x14ac:dyDescent="0.2">
      <c r="A9" t="s">
        <v>152</v>
      </c>
      <c r="B9" t="s">
        <v>45</v>
      </c>
      <c r="C9" t="s">
        <v>65</v>
      </c>
      <c r="D9" t="s">
        <v>47</v>
      </c>
      <c r="E9" t="s">
        <v>66</v>
      </c>
      <c r="F9" t="s">
        <v>92</v>
      </c>
      <c r="G9" t="s">
        <v>68</v>
      </c>
      <c r="H9" t="s">
        <v>69</v>
      </c>
      <c r="I9" t="s">
        <v>52</v>
      </c>
      <c r="J9" t="s">
        <v>98</v>
      </c>
      <c r="K9" t="s">
        <v>54</v>
      </c>
      <c r="L9" t="s">
        <v>57</v>
      </c>
      <c r="M9" t="s">
        <v>72</v>
      </c>
      <c r="N9" t="s">
        <v>59</v>
      </c>
      <c r="O9" t="s">
        <v>58</v>
      </c>
      <c r="P9" t="s">
        <v>59</v>
      </c>
      <c r="Q9" t="s">
        <v>57</v>
      </c>
      <c r="R9" t="s">
        <v>55</v>
      </c>
      <c r="S9" t="s">
        <v>57</v>
      </c>
      <c r="T9" t="s">
        <v>55</v>
      </c>
      <c r="U9" t="s">
        <v>57</v>
      </c>
      <c r="V9" t="s">
        <v>57</v>
      </c>
      <c r="W9" t="s">
        <v>58</v>
      </c>
      <c r="X9" t="s">
        <v>55</v>
      </c>
      <c r="Y9" t="s">
        <v>59</v>
      </c>
      <c r="Z9" t="s">
        <v>57</v>
      </c>
      <c r="AA9" t="s">
        <v>57</v>
      </c>
      <c r="AB9" t="s">
        <v>55</v>
      </c>
      <c r="AC9" t="s">
        <v>55</v>
      </c>
      <c r="AD9" t="s">
        <v>55</v>
      </c>
      <c r="AE9" t="s">
        <v>57</v>
      </c>
      <c r="AF9" t="s">
        <v>60</v>
      </c>
      <c r="AG9" t="s">
        <v>57</v>
      </c>
      <c r="AH9" t="s">
        <v>61</v>
      </c>
      <c r="AI9" t="s">
        <v>55</v>
      </c>
      <c r="AJ9" t="s">
        <v>55</v>
      </c>
      <c r="AK9" t="s">
        <v>55</v>
      </c>
      <c r="AL9" t="s">
        <v>58</v>
      </c>
      <c r="AM9" t="s">
        <v>55</v>
      </c>
      <c r="AN9" t="s">
        <v>81</v>
      </c>
      <c r="AO9" t="s">
        <v>55</v>
      </c>
      <c r="AP9" t="s">
        <v>55</v>
      </c>
      <c r="AQ9" t="s">
        <v>57</v>
      </c>
      <c r="AR9" t="s">
        <v>58</v>
      </c>
      <c r="AT9" t="str">
        <f t="shared" si="0"/>
        <v>zdecydowanie tak</v>
      </c>
      <c r="AU9" t="str">
        <f t="shared" si="1"/>
        <v>od 150 do 169 godzin</v>
      </c>
      <c r="AV9">
        <f t="shared" si="2"/>
        <v>169</v>
      </c>
      <c r="AW9">
        <f t="shared" si="3"/>
        <v>2</v>
      </c>
      <c r="BA9" s="13"/>
      <c r="BB9" s="10">
        <f t="shared" ref="BB9:BH9" si="4">SUM(BB4:BB8)</f>
        <v>15</v>
      </c>
      <c r="BC9" s="10">
        <f t="shared" si="4"/>
        <v>50</v>
      </c>
      <c r="BD9" s="10">
        <f t="shared" si="4"/>
        <v>28</v>
      </c>
      <c r="BE9" s="10">
        <f t="shared" si="4"/>
        <v>14</v>
      </c>
      <c r="BF9" s="10">
        <f t="shared" si="4"/>
        <v>5</v>
      </c>
      <c r="BG9" s="10">
        <f t="shared" si="4"/>
        <v>3</v>
      </c>
      <c r="BH9" s="17">
        <f t="shared" si="4"/>
        <v>115</v>
      </c>
    </row>
    <row r="10" spans="1:69" x14ac:dyDescent="0.2">
      <c r="A10" t="s">
        <v>215</v>
      </c>
      <c r="B10" t="s">
        <v>45</v>
      </c>
      <c r="C10" t="s">
        <v>65</v>
      </c>
      <c r="D10" t="s">
        <v>47</v>
      </c>
      <c r="E10" t="s">
        <v>66</v>
      </c>
      <c r="F10" t="s">
        <v>92</v>
      </c>
      <c r="G10" t="s">
        <v>97</v>
      </c>
      <c r="H10" t="s">
        <v>78</v>
      </c>
      <c r="I10" t="s">
        <v>70</v>
      </c>
      <c r="J10" t="s">
        <v>98</v>
      </c>
      <c r="K10" t="s">
        <v>54</v>
      </c>
      <c r="L10" t="s">
        <v>57</v>
      </c>
      <c r="M10" t="s">
        <v>78</v>
      </c>
      <c r="N10" t="s">
        <v>57</v>
      </c>
      <c r="O10" t="s">
        <v>85</v>
      </c>
      <c r="P10" t="s">
        <v>59</v>
      </c>
      <c r="Q10" t="s">
        <v>55</v>
      </c>
      <c r="R10" t="s">
        <v>55</v>
      </c>
      <c r="S10" t="s">
        <v>57</v>
      </c>
      <c r="T10" t="s">
        <v>59</v>
      </c>
      <c r="U10" t="s">
        <v>55</v>
      </c>
      <c r="V10" t="s">
        <v>55</v>
      </c>
      <c r="W10" t="s">
        <v>58</v>
      </c>
      <c r="X10" t="s">
        <v>59</v>
      </c>
      <c r="Y10" t="s">
        <v>59</v>
      </c>
      <c r="Z10" t="s">
        <v>58</v>
      </c>
      <c r="AA10" t="s">
        <v>73</v>
      </c>
      <c r="AB10" t="s">
        <v>73</v>
      </c>
      <c r="AC10" t="s">
        <v>57</v>
      </c>
      <c r="AD10" t="s">
        <v>57</v>
      </c>
      <c r="AE10" t="s">
        <v>57</v>
      </c>
      <c r="AF10" t="s">
        <v>60</v>
      </c>
      <c r="AG10" t="s">
        <v>57</v>
      </c>
      <c r="AH10" t="s">
        <v>61</v>
      </c>
      <c r="AI10" t="s">
        <v>57</v>
      </c>
      <c r="AJ10" t="s">
        <v>59</v>
      </c>
      <c r="AK10" t="s">
        <v>55</v>
      </c>
      <c r="AL10" t="s">
        <v>58</v>
      </c>
      <c r="AM10" t="s">
        <v>57</v>
      </c>
      <c r="AN10" t="s">
        <v>62</v>
      </c>
      <c r="AO10" t="s">
        <v>55</v>
      </c>
      <c r="AP10" t="s">
        <v>59</v>
      </c>
      <c r="AQ10" t="s">
        <v>57</v>
      </c>
      <c r="AR10" t="s">
        <v>58</v>
      </c>
      <c r="AT10" t="str">
        <f t="shared" si="0"/>
        <v>zdecydowanie tak</v>
      </c>
      <c r="AU10" t="str">
        <f t="shared" si="1"/>
        <v>od 150 do 169 godzin</v>
      </c>
      <c r="AV10">
        <f t="shared" si="2"/>
        <v>169</v>
      </c>
      <c r="AW10">
        <f t="shared" si="3"/>
        <v>2</v>
      </c>
      <c r="BA10" s="13"/>
    </row>
    <row r="11" spans="1:69" x14ac:dyDescent="0.2">
      <c r="A11" t="s">
        <v>63</v>
      </c>
      <c r="B11" t="s">
        <v>64</v>
      </c>
      <c r="C11" t="s">
        <v>65</v>
      </c>
      <c r="D11" t="s">
        <v>47</v>
      </c>
      <c r="E11" t="s">
        <v>66</v>
      </c>
      <c r="F11" t="s">
        <v>67</v>
      </c>
      <c r="G11" t="s">
        <v>68</v>
      </c>
      <c r="H11" t="s">
        <v>69</v>
      </c>
      <c r="I11" t="s">
        <v>70</v>
      </c>
      <c r="J11" t="s">
        <v>53</v>
      </c>
      <c r="K11" t="s">
        <v>71</v>
      </c>
      <c r="L11" t="s">
        <v>57</v>
      </c>
      <c r="M11" t="s">
        <v>72</v>
      </c>
      <c r="N11" t="s">
        <v>73</v>
      </c>
      <c r="O11" t="s">
        <v>57</v>
      </c>
      <c r="P11" t="s">
        <v>55</v>
      </c>
      <c r="Q11" t="s">
        <v>57</v>
      </c>
      <c r="R11" t="s">
        <v>73</v>
      </c>
      <c r="S11" t="s">
        <v>57</v>
      </c>
      <c r="T11" t="s">
        <v>59</v>
      </c>
      <c r="U11" t="s">
        <v>58</v>
      </c>
      <c r="V11" t="s">
        <v>58</v>
      </c>
      <c r="W11" t="s">
        <v>58</v>
      </c>
      <c r="X11" t="s">
        <v>59</v>
      </c>
      <c r="Y11" t="s">
        <v>73</v>
      </c>
      <c r="Z11" t="s">
        <v>57</v>
      </c>
      <c r="AA11" t="s">
        <v>58</v>
      </c>
      <c r="AB11" t="s">
        <v>58</v>
      </c>
      <c r="AC11" t="s">
        <v>55</v>
      </c>
      <c r="AD11" t="s">
        <v>58</v>
      </c>
      <c r="AE11" t="s">
        <v>73</v>
      </c>
      <c r="AF11" t="s">
        <v>60</v>
      </c>
      <c r="AG11" t="s">
        <v>57</v>
      </c>
      <c r="AH11" t="s">
        <v>74</v>
      </c>
      <c r="AI11" t="s">
        <v>73</v>
      </c>
      <c r="AJ11" t="s">
        <v>58</v>
      </c>
      <c r="AK11" t="s">
        <v>55</v>
      </c>
      <c r="AL11" t="s">
        <v>57</v>
      </c>
      <c r="AM11" t="s">
        <v>73</v>
      </c>
      <c r="AN11" t="s">
        <v>62</v>
      </c>
      <c r="AO11" t="s">
        <v>58</v>
      </c>
      <c r="AP11" t="s">
        <v>55</v>
      </c>
      <c r="AQ11" t="s">
        <v>57</v>
      </c>
      <c r="AR11" t="s">
        <v>58</v>
      </c>
      <c r="AT11" t="str">
        <f t="shared" si="0"/>
        <v>raczej tak</v>
      </c>
      <c r="AU11" t="str">
        <f t="shared" si="1"/>
        <v>od 170 do 199 godzin</v>
      </c>
      <c r="AV11">
        <f t="shared" si="2"/>
        <v>199</v>
      </c>
      <c r="AW11">
        <f t="shared" si="3"/>
        <v>1</v>
      </c>
      <c r="BA11" s="13"/>
    </row>
    <row r="12" spans="1:69" x14ac:dyDescent="0.2">
      <c r="A12" t="s">
        <v>91</v>
      </c>
      <c r="B12" t="s">
        <v>45</v>
      </c>
      <c r="C12" t="s">
        <v>65</v>
      </c>
      <c r="D12" t="s">
        <v>47</v>
      </c>
      <c r="E12" t="s">
        <v>66</v>
      </c>
      <c r="F12" t="s">
        <v>92</v>
      </c>
      <c r="G12" t="s">
        <v>93</v>
      </c>
      <c r="H12" t="s">
        <v>78</v>
      </c>
      <c r="I12" t="s">
        <v>70</v>
      </c>
      <c r="J12" t="s">
        <v>53</v>
      </c>
      <c r="K12" t="s">
        <v>54</v>
      </c>
      <c r="L12" t="s">
        <v>58</v>
      </c>
      <c r="M12" t="s">
        <v>78</v>
      </c>
      <c r="N12" t="s">
        <v>59</v>
      </c>
      <c r="O12" t="s">
        <v>58</v>
      </c>
      <c r="P12" t="s">
        <v>55</v>
      </c>
      <c r="Q12" t="s">
        <v>58</v>
      </c>
      <c r="R12" t="s">
        <v>57</v>
      </c>
      <c r="S12" t="s">
        <v>55</v>
      </c>
      <c r="T12" t="s">
        <v>55</v>
      </c>
      <c r="U12" t="s">
        <v>55</v>
      </c>
      <c r="V12" t="s">
        <v>57</v>
      </c>
      <c r="W12" t="s">
        <v>57</v>
      </c>
      <c r="X12" t="s">
        <v>59</v>
      </c>
      <c r="Y12" t="s">
        <v>59</v>
      </c>
      <c r="Z12" t="s">
        <v>58</v>
      </c>
      <c r="AA12" t="s">
        <v>58</v>
      </c>
      <c r="AB12" t="s">
        <v>58</v>
      </c>
      <c r="AC12" t="s">
        <v>57</v>
      </c>
      <c r="AD12" t="s">
        <v>55</v>
      </c>
      <c r="AE12" t="s">
        <v>57</v>
      </c>
      <c r="AF12" t="s">
        <v>94</v>
      </c>
      <c r="AG12" t="s">
        <v>55</v>
      </c>
      <c r="AH12" t="s">
        <v>61</v>
      </c>
      <c r="AI12" t="s">
        <v>55</v>
      </c>
      <c r="AJ12" t="s">
        <v>59</v>
      </c>
      <c r="AK12" t="s">
        <v>59</v>
      </c>
      <c r="AL12" t="s">
        <v>58</v>
      </c>
      <c r="AM12" t="s">
        <v>57</v>
      </c>
      <c r="AN12" t="s">
        <v>62</v>
      </c>
      <c r="AO12" t="s">
        <v>59</v>
      </c>
      <c r="AP12" t="s">
        <v>55</v>
      </c>
      <c r="AQ12" t="s">
        <v>57</v>
      </c>
      <c r="AR12" t="s">
        <v>58</v>
      </c>
      <c r="AT12" t="str">
        <f t="shared" si="0"/>
        <v>zdecydowanie tak</v>
      </c>
      <c r="AU12" t="str">
        <f t="shared" si="1"/>
        <v>od 170 do 199 godzin</v>
      </c>
      <c r="AV12">
        <f t="shared" si="2"/>
        <v>199</v>
      </c>
      <c r="AW12">
        <f t="shared" si="3"/>
        <v>2</v>
      </c>
      <c r="BA12" s="13"/>
    </row>
    <row r="13" spans="1:69" x14ac:dyDescent="0.2">
      <c r="A13" t="s">
        <v>163</v>
      </c>
      <c r="B13" t="s">
        <v>45</v>
      </c>
      <c r="C13" t="s">
        <v>65</v>
      </c>
      <c r="D13" t="s">
        <v>47</v>
      </c>
      <c r="E13" t="s">
        <v>66</v>
      </c>
      <c r="F13" t="s">
        <v>67</v>
      </c>
      <c r="G13" t="s">
        <v>89</v>
      </c>
      <c r="H13" t="s">
        <v>69</v>
      </c>
      <c r="I13" t="s">
        <v>52</v>
      </c>
      <c r="J13" t="s">
        <v>53</v>
      </c>
      <c r="K13" t="s">
        <v>54</v>
      </c>
      <c r="L13" t="s">
        <v>57</v>
      </c>
      <c r="M13" t="s">
        <v>72</v>
      </c>
      <c r="N13" t="s">
        <v>58</v>
      </c>
      <c r="O13" t="s">
        <v>73</v>
      </c>
      <c r="P13" t="s">
        <v>55</v>
      </c>
      <c r="Q13" t="s">
        <v>57</v>
      </c>
      <c r="R13" t="s">
        <v>58</v>
      </c>
      <c r="S13" t="s">
        <v>73</v>
      </c>
      <c r="T13" t="s">
        <v>55</v>
      </c>
      <c r="U13" t="s">
        <v>57</v>
      </c>
      <c r="V13" t="s">
        <v>57</v>
      </c>
      <c r="W13" t="s">
        <v>58</v>
      </c>
      <c r="X13" t="s">
        <v>59</v>
      </c>
      <c r="Y13" t="s">
        <v>58</v>
      </c>
      <c r="Z13" t="s">
        <v>58</v>
      </c>
      <c r="AA13" t="s">
        <v>57</v>
      </c>
      <c r="AB13" t="s">
        <v>57</v>
      </c>
      <c r="AC13" t="s">
        <v>55</v>
      </c>
      <c r="AD13" t="s">
        <v>58</v>
      </c>
      <c r="AE13" t="s">
        <v>73</v>
      </c>
      <c r="AF13" t="s">
        <v>60</v>
      </c>
      <c r="AG13" t="s">
        <v>58</v>
      </c>
      <c r="AH13" t="s">
        <v>61</v>
      </c>
      <c r="AI13" t="s">
        <v>59</v>
      </c>
      <c r="AJ13" t="s">
        <v>58</v>
      </c>
      <c r="AK13" t="s">
        <v>58</v>
      </c>
      <c r="AL13" t="s">
        <v>58</v>
      </c>
      <c r="AM13" t="s">
        <v>59</v>
      </c>
      <c r="AN13" t="s">
        <v>81</v>
      </c>
      <c r="AO13" t="s">
        <v>73</v>
      </c>
      <c r="AP13" t="s">
        <v>55</v>
      </c>
      <c r="AQ13" t="s">
        <v>58</v>
      </c>
      <c r="AR13" t="s">
        <v>58</v>
      </c>
      <c r="AT13" t="str">
        <f t="shared" si="0"/>
        <v>zdecydowanie tak</v>
      </c>
      <c r="AU13" t="str">
        <f t="shared" si="1"/>
        <v>od 170 do 199 godzin</v>
      </c>
      <c r="AV13">
        <f t="shared" si="2"/>
        <v>199</v>
      </c>
      <c r="AW13">
        <f t="shared" si="3"/>
        <v>2</v>
      </c>
      <c r="AZ13" s="18" t="s">
        <v>275</v>
      </c>
      <c r="BA13" s="19" t="s">
        <v>274</v>
      </c>
      <c r="BB13" t="s">
        <v>272</v>
      </c>
      <c r="BC13" t="s">
        <v>273</v>
      </c>
      <c r="BD13" t="s">
        <v>277</v>
      </c>
      <c r="BG13" t="s">
        <v>281</v>
      </c>
      <c r="BH13" t="str">
        <f>BB13</f>
        <v>do 169</v>
      </c>
      <c r="BI13" t="str">
        <f t="shared" ref="BI13:BJ13" si="5">BC13</f>
        <v>do 199</v>
      </c>
      <c r="BJ13" t="str">
        <f t="shared" si="5"/>
        <v>200 i więcej</v>
      </c>
      <c r="BL13" t="s">
        <v>282</v>
      </c>
    </row>
    <row r="14" spans="1:69" x14ac:dyDescent="0.2">
      <c r="A14" t="s">
        <v>75</v>
      </c>
      <c r="B14" t="s">
        <v>45</v>
      </c>
      <c r="C14" t="s">
        <v>76</v>
      </c>
      <c r="D14" t="s">
        <v>47</v>
      </c>
      <c r="E14" t="s">
        <v>66</v>
      </c>
      <c r="F14" t="s">
        <v>77</v>
      </c>
      <c r="G14" t="s">
        <v>68</v>
      </c>
      <c r="H14" t="s">
        <v>78</v>
      </c>
      <c r="I14" t="s">
        <v>70</v>
      </c>
      <c r="J14" t="s">
        <v>79</v>
      </c>
      <c r="K14" t="s">
        <v>80</v>
      </c>
      <c r="L14" t="s">
        <v>73</v>
      </c>
      <c r="M14" t="s">
        <v>72</v>
      </c>
      <c r="N14" t="s">
        <v>57</v>
      </c>
      <c r="O14" t="s">
        <v>73</v>
      </c>
      <c r="P14" t="s">
        <v>59</v>
      </c>
      <c r="Q14" t="s">
        <v>57</v>
      </c>
      <c r="R14" t="s">
        <v>59</v>
      </c>
      <c r="S14" t="s">
        <v>57</v>
      </c>
      <c r="T14" t="s">
        <v>55</v>
      </c>
      <c r="U14" t="s">
        <v>55</v>
      </c>
      <c r="V14" t="s">
        <v>55</v>
      </c>
      <c r="W14" t="s">
        <v>58</v>
      </c>
      <c r="X14" t="s">
        <v>59</v>
      </c>
      <c r="Y14" t="s">
        <v>58</v>
      </c>
      <c r="Z14" t="s">
        <v>58</v>
      </c>
      <c r="AA14" t="s">
        <v>58</v>
      </c>
      <c r="AB14" t="s">
        <v>58</v>
      </c>
      <c r="AC14" t="s">
        <v>57</v>
      </c>
      <c r="AD14" t="s">
        <v>57</v>
      </c>
      <c r="AE14" t="s">
        <v>58</v>
      </c>
      <c r="AF14" t="s">
        <v>60</v>
      </c>
      <c r="AG14" t="s">
        <v>58</v>
      </c>
      <c r="AH14" t="s">
        <v>61</v>
      </c>
      <c r="AI14" t="s">
        <v>59</v>
      </c>
      <c r="AJ14" t="s">
        <v>59</v>
      </c>
      <c r="AK14" t="s">
        <v>57</v>
      </c>
      <c r="AL14" t="s">
        <v>55</v>
      </c>
      <c r="AM14" t="s">
        <v>58</v>
      </c>
      <c r="AN14" t="s">
        <v>81</v>
      </c>
      <c r="AO14" t="s">
        <v>59</v>
      </c>
      <c r="AP14" t="s">
        <v>59</v>
      </c>
      <c r="AQ14" t="s">
        <v>73</v>
      </c>
      <c r="AR14" t="s">
        <v>55</v>
      </c>
      <c r="AT14" t="str">
        <f t="shared" si="0"/>
        <v>raczej nie</v>
      </c>
      <c r="AU14" t="str">
        <f t="shared" si="1"/>
        <v>do 149 godzin</v>
      </c>
      <c r="AV14">
        <f t="shared" si="2"/>
        <v>149</v>
      </c>
      <c r="AW14">
        <f t="shared" si="3"/>
        <v>-1</v>
      </c>
      <c r="AY14" t="s">
        <v>279</v>
      </c>
      <c r="AZ14" s="20">
        <f>AZ4</f>
        <v>-2</v>
      </c>
      <c r="BA14" s="13"/>
      <c r="BB14">
        <f>BB4+BC4</f>
        <v>1</v>
      </c>
      <c r="BC14">
        <f>BD4</f>
        <v>2</v>
      </c>
      <c r="BD14">
        <f>SUM(BE4:BG4)</f>
        <v>0</v>
      </c>
      <c r="BE14" s="10">
        <f t="shared" ref="BE14:BE19" si="6">SUM(BB14:BD14)</f>
        <v>3</v>
      </c>
      <c r="BH14">
        <f>BB$19*$BE14/$BE$19</f>
        <v>1.6956521739130435</v>
      </c>
      <c r="BI14">
        <f t="shared" ref="BI14:BJ18" si="7">BC$19*$BE14/$BE$19</f>
        <v>0.73043478260869565</v>
      </c>
      <c r="BJ14">
        <f t="shared" si="7"/>
        <v>0.57391304347826089</v>
      </c>
      <c r="BL14">
        <f>(BB14-BH14)*(BB14-BH14)/BH14</f>
        <v>0.28539576365663322</v>
      </c>
      <c r="BM14">
        <f t="shared" ref="BM14:BN14" si="8">(BC14-BI14)*(BC14-BI14)/BI14</f>
        <v>2.2066252587991717</v>
      </c>
      <c r="BN14">
        <f t="shared" si="8"/>
        <v>0.57391304347826089</v>
      </c>
      <c r="BP14" t="s">
        <v>284</v>
      </c>
      <c r="BQ14">
        <f>2*4</f>
        <v>8</v>
      </c>
    </row>
    <row r="15" spans="1:69" x14ac:dyDescent="0.2">
      <c r="A15" t="s">
        <v>100</v>
      </c>
      <c r="B15" t="s">
        <v>45</v>
      </c>
      <c r="C15" t="s">
        <v>76</v>
      </c>
      <c r="D15" t="s">
        <v>47</v>
      </c>
      <c r="E15" t="s">
        <v>83</v>
      </c>
      <c r="F15" t="s">
        <v>92</v>
      </c>
      <c r="G15" t="s">
        <v>97</v>
      </c>
      <c r="H15" t="s">
        <v>78</v>
      </c>
      <c r="I15" t="s">
        <v>70</v>
      </c>
      <c r="J15" t="s">
        <v>79</v>
      </c>
      <c r="K15" t="s">
        <v>54</v>
      </c>
      <c r="L15" t="s">
        <v>57</v>
      </c>
      <c r="M15" t="s">
        <v>72</v>
      </c>
      <c r="N15" t="s">
        <v>57</v>
      </c>
      <c r="O15" t="s">
        <v>85</v>
      </c>
      <c r="P15" t="s">
        <v>57</v>
      </c>
      <c r="Q15" t="s">
        <v>58</v>
      </c>
      <c r="R15" t="s">
        <v>58</v>
      </c>
      <c r="S15" t="s">
        <v>59</v>
      </c>
      <c r="T15" t="s">
        <v>58</v>
      </c>
      <c r="U15" t="s">
        <v>58</v>
      </c>
      <c r="V15" t="s">
        <v>58</v>
      </c>
      <c r="W15" t="s">
        <v>58</v>
      </c>
      <c r="X15" t="s">
        <v>58</v>
      </c>
      <c r="Y15" t="s">
        <v>55</v>
      </c>
      <c r="Z15" t="s">
        <v>73</v>
      </c>
      <c r="AA15" t="s">
        <v>57</v>
      </c>
      <c r="AB15" t="s">
        <v>57</v>
      </c>
      <c r="AC15" t="s">
        <v>58</v>
      </c>
      <c r="AD15" t="s">
        <v>57</v>
      </c>
      <c r="AE15" t="s">
        <v>57</v>
      </c>
      <c r="AF15" t="s">
        <v>94</v>
      </c>
      <c r="AG15" t="s">
        <v>58</v>
      </c>
      <c r="AH15" t="s">
        <v>61</v>
      </c>
      <c r="AI15" t="s">
        <v>58</v>
      </c>
      <c r="AJ15" t="s">
        <v>55</v>
      </c>
      <c r="AK15" t="s">
        <v>58</v>
      </c>
      <c r="AL15" t="s">
        <v>58</v>
      </c>
      <c r="AM15" t="s">
        <v>59</v>
      </c>
      <c r="AN15" t="s">
        <v>101</v>
      </c>
      <c r="AO15" t="s">
        <v>57</v>
      </c>
      <c r="AP15" t="s">
        <v>58</v>
      </c>
      <c r="AQ15" t="s">
        <v>57</v>
      </c>
      <c r="AR15" t="s">
        <v>58</v>
      </c>
      <c r="AT15" t="str">
        <f t="shared" si="0"/>
        <v>zdecydowanie tak</v>
      </c>
      <c r="AU15" t="str">
        <f t="shared" si="1"/>
        <v>do 149 godzin</v>
      </c>
      <c r="AV15">
        <f t="shared" si="2"/>
        <v>149</v>
      </c>
      <c r="AW15">
        <f t="shared" si="3"/>
        <v>2</v>
      </c>
      <c r="AZ15" s="20">
        <f t="shared" ref="AZ15:AZ18" si="9">AZ5</f>
        <v>-1</v>
      </c>
      <c r="BA15" s="13"/>
      <c r="BB15">
        <f>SUM(BB5:BC5)</f>
        <v>11</v>
      </c>
      <c r="BC15">
        <f t="shared" ref="BC15:BC18" si="10">BD5</f>
        <v>5</v>
      </c>
      <c r="BD15">
        <f t="shared" ref="BD15:BD18" si="11">SUM(BE5:BG5)</f>
        <v>1</v>
      </c>
      <c r="BE15" s="10">
        <f t="shared" si="6"/>
        <v>17</v>
      </c>
      <c r="BH15">
        <f t="shared" ref="BH15:BH18" si="12">BB$19*$BE15/$BE$19</f>
        <v>9.6086956521739122</v>
      </c>
      <c r="BI15">
        <f t="shared" si="7"/>
        <v>4.1391304347826088</v>
      </c>
      <c r="BJ15">
        <f t="shared" si="7"/>
        <v>3.2521739130434781</v>
      </c>
      <c r="BL15">
        <f t="shared" ref="BL15:BL18" si="13">(BB15-BH15)*(BB15-BH15)/BH15</f>
        <v>0.20145583316938842</v>
      </c>
      <c r="BM15">
        <f t="shared" ref="BM15:BM18" si="14">(BC15-BI15)*(BC15-BI15)/BI15</f>
        <v>0.17904640116916326</v>
      </c>
      <c r="BN15">
        <f t="shared" ref="BN15:BN18" si="15">(BD15-BJ15)*(BD15-BJ15)/BJ15</f>
        <v>1.559660544059521</v>
      </c>
      <c r="BP15" t="s">
        <v>285</v>
      </c>
      <c r="BQ15">
        <v>0.05</v>
      </c>
    </row>
    <row r="16" spans="1:69" x14ac:dyDescent="0.2">
      <c r="A16" t="s">
        <v>110</v>
      </c>
      <c r="B16" t="s">
        <v>45</v>
      </c>
      <c r="C16" t="s">
        <v>76</v>
      </c>
      <c r="D16" t="s">
        <v>47</v>
      </c>
      <c r="E16" t="s">
        <v>111</v>
      </c>
      <c r="F16" t="s">
        <v>67</v>
      </c>
      <c r="G16" t="s">
        <v>50</v>
      </c>
      <c r="H16" t="s">
        <v>56</v>
      </c>
      <c r="I16" t="s">
        <v>70</v>
      </c>
      <c r="J16" t="s">
        <v>79</v>
      </c>
      <c r="K16" t="s">
        <v>54</v>
      </c>
      <c r="L16" t="s">
        <v>73</v>
      </c>
      <c r="M16" t="s">
        <v>56</v>
      </c>
      <c r="N16" t="s">
        <v>58</v>
      </c>
      <c r="O16" t="s">
        <v>57</v>
      </c>
      <c r="P16" t="s">
        <v>73</v>
      </c>
      <c r="Q16" t="s">
        <v>58</v>
      </c>
      <c r="R16" t="s">
        <v>57</v>
      </c>
      <c r="S16" t="s">
        <v>55</v>
      </c>
      <c r="T16" t="s">
        <v>57</v>
      </c>
      <c r="U16" t="s">
        <v>73</v>
      </c>
      <c r="V16" t="s">
        <v>55</v>
      </c>
      <c r="W16" t="s">
        <v>58</v>
      </c>
      <c r="X16" t="s">
        <v>59</v>
      </c>
      <c r="Y16" t="s">
        <v>55</v>
      </c>
      <c r="Z16" t="s">
        <v>58</v>
      </c>
      <c r="AA16" t="s">
        <v>73</v>
      </c>
      <c r="AB16" t="s">
        <v>73</v>
      </c>
      <c r="AC16" t="s">
        <v>73</v>
      </c>
      <c r="AD16" t="s">
        <v>55</v>
      </c>
      <c r="AE16" t="s">
        <v>55</v>
      </c>
      <c r="AF16" t="s">
        <v>60</v>
      </c>
      <c r="AG16" t="s">
        <v>58</v>
      </c>
      <c r="AH16" t="s">
        <v>61</v>
      </c>
      <c r="AI16" t="s">
        <v>73</v>
      </c>
      <c r="AJ16" t="s">
        <v>73</v>
      </c>
      <c r="AK16" t="s">
        <v>73</v>
      </c>
      <c r="AL16" t="s">
        <v>58</v>
      </c>
      <c r="AM16" t="s">
        <v>59</v>
      </c>
      <c r="AN16" t="s">
        <v>62</v>
      </c>
      <c r="AO16" t="s">
        <v>59</v>
      </c>
      <c r="AP16" t="s">
        <v>57</v>
      </c>
      <c r="AQ16" t="s">
        <v>73</v>
      </c>
      <c r="AR16" t="s">
        <v>57</v>
      </c>
      <c r="AT16" t="str">
        <f t="shared" si="0"/>
        <v>zdecydowanie tak</v>
      </c>
      <c r="AU16" t="str">
        <f t="shared" si="1"/>
        <v>do 149 godzin</v>
      </c>
      <c r="AV16">
        <f t="shared" si="2"/>
        <v>149</v>
      </c>
      <c r="AW16">
        <f t="shared" si="3"/>
        <v>2</v>
      </c>
      <c r="AZ16" s="20">
        <f t="shared" si="9"/>
        <v>0</v>
      </c>
      <c r="BA16" s="13"/>
      <c r="BB16">
        <f>SUM(BB6:BC6)</f>
        <v>2</v>
      </c>
      <c r="BC16">
        <f t="shared" si="10"/>
        <v>0</v>
      </c>
      <c r="BD16">
        <f t="shared" si="11"/>
        <v>1</v>
      </c>
      <c r="BE16" s="10">
        <f t="shared" si="6"/>
        <v>3</v>
      </c>
      <c r="BH16">
        <f t="shared" si="12"/>
        <v>1.6956521739130435</v>
      </c>
      <c r="BI16">
        <f t="shared" si="7"/>
        <v>0.73043478260869565</v>
      </c>
      <c r="BJ16">
        <f t="shared" si="7"/>
        <v>0.57391304347826089</v>
      </c>
      <c r="BL16">
        <f t="shared" si="13"/>
        <v>5.4626532887402462E-2</v>
      </c>
      <c r="BM16">
        <f t="shared" si="14"/>
        <v>0.73043478260869565</v>
      </c>
      <c r="BN16">
        <f t="shared" si="15"/>
        <v>0.31633728590250326</v>
      </c>
    </row>
    <row r="17" spans="1:69" x14ac:dyDescent="0.2">
      <c r="A17" t="s">
        <v>157</v>
      </c>
      <c r="B17" t="s">
        <v>45</v>
      </c>
      <c r="C17" t="s">
        <v>76</v>
      </c>
      <c r="D17" t="s">
        <v>47</v>
      </c>
      <c r="E17" t="s">
        <v>103</v>
      </c>
      <c r="F17" t="s">
        <v>49</v>
      </c>
      <c r="G17" t="s">
        <v>97</v>
      </c>
      <c r="H17" t="s">
        <v>56</v>
      </c>
      <c r="I17" t="s">
        <v>70</v>
      </c>
      <c r="J17" t="s">
        <v>79</v>
      </c>
      <c r="K17" t="s">
        <v>54</v>
      </c>
      <c r="L17" t="s">
        <v>57</v>
      </c>
      <c r="M17" t="s">
        <v>56</v>
      </c>
      <c r="N17" t="s">
        <v>85</v>
      </c>
      <c r="O17" t="s">
        <v>58</v>
      </c>
      <c r="P17" t="s">
        <v>59</v>
      </c>
      <c r="Q17" t="s">
        <v>58</v>
      </c>
      <c r="R17" t="s">
        <v>57</v>
      </c>
      <c r="S17" t="s">
        <v>55</v>
      </c>
      <c r="T17" t="s">
        <v>59</v>
      </c>
      <c r="U17" t="s">
        <v>58</v>
      </c>
      <c r="V17" t="s">
        <v>58</v>
      </c>
      <c r="W17" t="s">
        <v>58</v>
      </c>
      <c r="X17" t="s">
        <v>59</v>
      </c>
      <c r="Y17" t="s">
        <v>55</v>
      </c>
      <c r="Z17" t="s">
        <v>58</v>
      </c>
      <c r="AA17" t="s">
        <v>73</v>
      </c>
      <c r="AB17" t="s">
        <v>73</v>
      </c>
      <c r="AC17" t="s">
        <v>58</v>
      </c>
      <c r="AD17" t="s">
        <v>55</v>
      </c>
      <c r="AE17" t="s">
        <v>55</v>
      </c>
      <c r="AF17" t="s">
        <v>60</v>
      </c>
      <c r="AG17" t="s">
        <v>73</v>
      </c>
      <c r="AH17" t="s">
        <v>74</v>
      </c>
      <c r="AI17" t="s">
        <v>57</v>
      </c>
      <c r="AJ17" t="s">
        <v>73</v>
      </c>
      <c r="AK17" t="s">
        <v>57</v>
      </c>
      <c r="AL17" t="s">
        <v>58</v>
      </c>
      <c r="AM17" t="s">
        <v>73</v>
      </c>
      <c r="AN17" t="s">
        <v>101</v>
      </c>
      <c r="AO17" t="s">
        <v>58</v>
      </c>
      <c r="AP17" t="s">
        <v>55</v>
      </c>
      <c r="AQ17" t="s">
        <v>55</v>
      </c>
      <c r="AR17" t="s">
        <v>59</v>
      </c>
      <c r="AT17" t="str">
        <f t="shared" si="0"/>
        <v>zdecydowanie tak</v>
      </c>
      <c r="AU17" t="str">
        <f t="shared" si="1"/>
        <v>do 149 godzin</v>
      </c>
      <c r="AV17">
        <f t="shared" si="2"/>
        <v>149</v>
      </c>
      <c r="AW17">
        <f t="shared" si="3"/>
        <v>2</v>
      </c>
      <c r="AZ17" s="20">
        <f t="shared" si="9"/>
        <v>1</v>
      </c>
      <c r="BA17" s="13"/>
      <c r="BB17">
        <f t="shared" ref="BB17:BB18" si="16">SUM(BB7:BC7)</f>
        <v>29</v>
      </c>
      <c r="BC17">
        <f t="shared" si="10"/>
        <v>16</v>
      </c>
      <c r="BD17">
        <f t="shared" si="11"/>
        <v>12</v>
      </c>
      <c r="BE17" s="10">
        <f t="shared" si="6"/>
        <v>57</v>
      </c>
      <c r="BH17">
        <f t="shared" si="12"/>
        <v>32.217391304347828</v>
      </c>
      <c r="BI17">
        <f t="shared" si="7"/>
        <v>13.878260869565217</v>
      </c>
      <c r="BJ17">
        <f t="shared" si="7"/>
        <v>10.904347826086957</v>
      </c>
      <c r="BL17">
        <f t="shared" si="13"/>
        <v>0.32130493457724618</v>
      </c>
      <c r="BM17">
        <f t="shared" si="14"/>
        <v>0.32437615778576884</v>
      </c>
      <c r="BN17">
        <f t="shared" si="15"/>
        <v>0.11008945288121487</v>
      </c>
      <c r="BP17" t="s">
        <v>286</v>
      </c>
      <c r="BQ17">
        <v>15.507</v>
      </c>
    </row>
    <row r="18" spans="1:69" x14ac:dyDescent="0.2">
      <c r="A18" t="s">
        <v>167</v>
      </c>
      <c r="B18" t="s">
        <v>45</v>
      </c>
      <c r="C18" t="s">
        <v>76</v>
      </c>
      <c r="D18" t="s">
        <v>121</v>
      </c>
      <c r="E18" t="s">
        <v>103</v>
      </c>
      <c r="F18" t="s">
        <v>92</v>
      </c>
      <c r="G18" t="s">
        <v>68</v>
      </c>
      <c r="H18" t="s">
        <v>56</v>
      </c>
      <c r="I18" t="s">
        <v>70</v>
      </c>
      <c r="J18" t="s">
        <v>79</v>
      </c>
      <c r="K18" t="s">
        <v>80</v>
      </c>
      <c r="L18" t="s">
        <v>55</v>
      </c>
      <c r="M18" t="s">
        <v>78</v>
      </c>
      <c r="N18" t="s">
        <v>57</v>
      </c>
      <c r="O18" t="s">
        <v>57</v>
      </c>
      <c r="P18" t="s">
        <v>55</v>
      </c>
      <c r="Q18" t="s">
        <v>57</v>
      </c>
      <c r="R18" t="s">
        <v>57</v>
      </c>
      <c r="S18" t="s">
        <v>73</v>
      </c>
      <c r="T18" t="s">
        <v>55</v>
      </c>
      <c r="U18" t="s">
        <v>57</v>
      </c>
      <c r="V18" t="s">
        <v>57</v>
      </c>
      <c r="W18" t="s">
        <v>57</v>
      </c>
      <c r="X18" t="s">
        <v>57</v>
      </c>
      <c r="Y18" t="s">
        <v>57</v>
      </c>
      <c r="Z18" t="s">
        <v>57</v>
      </c>
      <c r="AA18" t="s">
        <v>57</v>
      </c>
      <c r="AB18" t="s">
        <v>57</v>
      </c>
      <c r="AC18" t="s">
        <v>57</v>
      </c>
      <c r="AD18" t="s">
        <v>57</v>
      </c>
      <c r="AE18" t="s">
        <v>57</v>
      </c>
      <c r="AF18" t="s">
        <v>60</v>
      </c>
      <c r="AG18" t="s">
        <v>73</v>
      </c>
      <c r="AH18" t="s">
        <v>61</v>
      </c>
      <c r="AI18" t="s">
        <v>73</v>
      </c>
      <c r="AJ18" t="s">
        <v>55</v>
      </c>
      <c r="AK18" t="s">
        <v>57</v>
      </c>
      <c r="AL18" t="s">
        <v>55</v>
      </c>
      <c r="AM18" t="s">
        <v>57</v>
      </c>
      <c r="AN18" t="s">
        <v>62</v>
      </c>
      <c r="AO18" t="s">
        <v>57</v>
      </c>
      <c r="AP18" t="s">
        <v>57</v>
      </c>
      <c r="AQ18" t="s">
        <v>55</v>
      </c>
      <c r="AR18" t="s">
        <v>57</v>
      </c>
      <c r="AT18" t="str">
        <f t="shared" si="0"/>
        <v>raczej nie</v>
      </c>
      <c r="AU18" t="str">
        <f t="shared" si="1"/>
        <v>do 149 godzin</v>
      </c>
      <c r="AV18">
        <f t="shared" si="2"/>
        <v>149</v>
      </c>
      <c r="AW18">
        <f t="shared" si="3"/>
        <v>-1</v>
      </c>
      <c r="AY18" t="s">
        <v>280</v>
      </c>
      <c r="AZ18" s="20">
        <f t="shared" si="9"/>
        <v>2</v>
      </c>
      <c r="BA18" s="13"/>
      <c r="BB18">
        <f t="shared" si="16"/>
        <v>22</v>
      </c>
      <c r="BC18">
        <f t="shared" si="10"/>
        <v>5</v>
      </c>
      <c r="BD18">
        <f t="shared" si="11"/>
        <v>8</v>
      </c>
      <c r="BE18" s="10">
        <f t="shared" si="6"/>
        <v>35</v>
      </c>
      <c r="BH18">
        <f t="shared" si="12"/>
        <v>19.782608695652176</v>
      </c>
      <c r="BI18">
        <f t="shared" si="7"/>
        <v>8.5217391304347831</v>
      </c>
      <c r="BJ18">
        <f t="shared" si="7"/>
        <v>6.6956521739130439</v>
      </c>
      <c r="BL18">
        <f t="shared" si="13"/>
        <v>0.24854276158623942</v>
      </c>
      <c r="BM18">
        <f t="shared" si="14"/>
        <v>1.455412599822538</v>
      </c>
      <c r="BN18">
        <f t="shared" si="15"/>
        <v>0.25409373235460175</v>
      </c>
    </row>
    <row r="19" spans="1:69" x14ac:dyDescent="0.2">
      <c r="A19" t="s">
        <v>140</v>
      </c>
      <c r="B19" t="s">
        <v>45</v>
      </c>
      <c r="C19" t="s">
        <v>76</v>
      </c>
      <c r="D19" t="s">
        <v>121</v>
      </c>
      <c r="E19" t="s">
        <v>83</v>
      </c>
      <c r="F19" t="s">
        <v>92</v>
      </c>
      <c r="G19" t="s">
        <v>93</v>
      </c>
      <c r="H19" t="s">
        <v>78</v>
      </c>
      <c r="I19" t="s">
        <v>70</v>
      </c>
      <c r="J19" t="s">
        <v>98</v>
      </c>
      <c r="K19" t="s">
        <v>54</v>
      </c>
      <c r="L19" t="s">
        <v>57</v>
      </c>
      <c r="M19" t="s">
        <v>78</v>
      </c>
      <c r="N19" t="s">
        <v>57</v>
      </c>
      <c r="O19" t="s">
        <v>73</v>
      </c>
      <c r="P19" t="s">
        <v>55</v>
      </c>
      <c r="Q19" t="s">
        <v>55</v>
      </c>
      <c r="R19" t="s">
        <v>55</v>
      </c>
      <c r="S19" t="s">
        <v>55</v>
      </c>
      <c r="T19" t="s">
        <v>59</v>
      </c>
      <c r="U19" t="s">
        <v>57</v>
      </c>
      <c r="V19" t="s">
        <v>57</v>
      </c>
      <c r="W19" t="s">
        <v>58</v>
      </c>
      <c r="X19" t="s">
        <v>59</v>
      </c>
      <c r="Y19" t="s">
        <v>55</v>
      </c>
      <c r="Z19" t="s">
        <v>58</v>
      </c>
      <c r="AA19" t="s">
        <v>55</v>
      </c>
      <c r="AB19" t="s">
        <v>58</v>
      </c>
      <c r="AC19" t="s">
        <v>73</v>
      </c>
      <c r="AD19" t="s">
        <v>57</v>
      </c>
      <c r="AE19" t="s">
        <v>57</v>
      </c>
      <c r="AF19" t="s">
        <v>60</v>
      </c>
      <c r="AG19" t="s">
        <v>55</v>
      </c>
      <c r="AH19" t="s">
        <v>61</v>
      </c>
      <c r="AI19" t="s">
        <v>55</v>
      </c>
      <c r="AJ19" t="s">
        <v>55</v>
      </c>
      <c r="AK19" t="s">
        <v>55</v>
      </c>
      <c r="AL19" t="s">
        <v>55</v>
      </c>
      <c r="AM19" t="s">
        <v>57</v>
      </c>
      <c r="AN19" t="s">
        <v>81</v>
      </c>
      <c r="AO19" t="s">
        <v>73</v>
      </c>
      <c r="AP19" t="s">
        <v>55</v>
      </c>
      <c r="AQ19" t="s">
        <v>57</v>
      </c>
      <c r="AR19" t="s">
        <v>57</v>
      </c>
      <c r="AT19" t="str">
        <f t="shared" si="0"/>
        <v>raczej nie</v>
      </c>
      <c r="AU19" t="str">
        <f t="shared" si="1"/>
        <v>od 150 do 169 godzin</v>
      </c>
      <c r="AV19">
        <f t="shared" si="2"/>
        <v>169</v>
      </c>
      <c r="AW19">
        <f t="shared" si="3"/>
        <v>-1</v>
      </c>
      <c r="BA19" s="13"/>
      <c r="BB19" s="10">
        <f>SUM(BB14:BB18)</f>
        <v>65</v>
      </c>
      <c r="BC19" s="10">
        <f>SUM(BC14:BC18)</f>
        <v>28</v>
      </c>
      <c r="BD19" s="10">
        <f>SUM(BD14:BD18)</f>
        <v>22</v>
      </c>
      <c r="BE19" s="21">
        <f t="shared" si="6"/>
        <v>115</v>
      </c>
    </row>
    <row r="20" spans="1:69" x14ac:dyDescent="0.2">
      <c r="A20" t="s">
        <v>145</v>
      </c>
      <c r="B20" t="s">
        <v>45</v>
      </c>
      <c r="C20" t="s">
        <v>76</v>
      </c>
      <c r="D20" t="s">
        <v>47</v>
      </c>
      <c r="E20" t="s">
        <v>126</v>
      </c>
      <c r="F20" t="s">
        <v>67</v>
      </c>
      <c r="G20" t="s">
        <v>93</v>
      </c>
      <c r="H20" t="s">
        <v>69</v>
      </c>
      <c r="I20" t="s">
        <v>70</v>
      </c>
      <c r="J20" t="s">
        <v>98</v>
      </c>
      <c r="K20" t="s">
        <v>71</v>
      </c>
      <c r="L20" t="s">
        <v>57</v>
      </c>
      <c r="M20" t="s">
        <v>72</v>
      </c>
      <c r="N20" t="s">
        <v>57</v>
      </c>
      <c r="O20" t="s">
        <v>85</v>
      </c>
      <c r="P20" t="s">
        <v>55</v>
      </c>
      <c r="Q20" t="s">
        <v>57</v>
      </c>
      <c r="R20" t="s">
        <v>73</v>
      </c>
      <c r="S20" t="s">
        <v>57</v>
      </c>
      <c r="T20" t="s">
        <v>55</v>
      </c>
      <c r="U20" t="s">
        <v>57</v>
      </c>
      <c r="V20" t="s">
        <v>57</v>
      </c>
      <c r="W20" t="s">
        <v>58</v>
      </c>
      <c r="X20" t="s">
        <v>59</v>
      </c>
      <c r="Y20" t="s">
        <v>59</v>
      </c>
      <c r="Z20" t="s">
        <v>55</v>
      </c>
      <c r="AA20" t="s">
        <v>57</v>
      </c>
      <c r="AB20" t="s">
        <v>58</v>
      </c>
      <c r="AC20" t="s">
        <v>58</v>
      </c>
      <c r="AD20" t="s">
        <v>57</v>
      </c>
      <c r="AE20" t="s">
        <v>57</v>
      </c>
      <c r="AF20" t="s">
        <v>60</v>
      </c>
      <c r="AG20" t="s">
        <v>55</v>
      </c>
      <c r="AH20" t="s">
        <v>61</v>
      </c>
      <c r="AI20" t="s">
        <v>73</v>
      </c>
      <c r="AJ20" t="s">
        <v>73</v>
      </c>
      <c r="AK20" t="s">
        <v>73</v>
      </c>
      <c r="AL20" t="s">
        <v>58</v>
      </c>
      <c r="AM20" t="s">
        <v>55</v>
      </c>
      <c r="AN20" t="s">
        <v>62</v>
      </c>
      <c r="AO20" t="s">
        <v>55</v>
      </c>
      <c r="AP20" t="s">
        <v>55</v>
      </c>
      <c r="AQ20" t="s">
        <v>57</v>
      </c>
      <c r="AR20" t="s">
        <v>73</v>
      </c>
      <c r="AT20" t="str">
        <f t="shared" si="0"/>
        <v>zdecydowanie tak</v>
      </c>
      <c r="AU20" t="str">
        <f t="shared" si="1"/>
        <v>od 150 do 169 godzin</v>
      </c>
      <c r="AV20">
        <f t="shared" si="2"/>
        <v>169</v>
      </c>
      <c r="AW20">
        <f t="shared" si="3"/>
        <v>2</v>
      </c>
      <c r="BA20" s="13"/>
      <c r="BL20" t="s">
        <v>269</v>
      </c>
      <c r="BM20" t="s">
        <v>283</v>
      </c>
      <c r="BN20">
        <f>SUM(BL14:BN18)</f>
        <v>8.8213150847383464</v>
      </c>
      <c r="BP20" t="s">
        <v>268</v>
      </c>
      <c r="BQ20">
        <f>CHITEST(BB14:BD18,BH14:BJ18)</f>
        <v>0.35759325625697375</v>
      </c>
    </row>
    <row r="21" spans="1:69" x14ac:dyDescent="0.2">
      <c r="A21" t="s">
        <v>153</v>
      </c>
      <c r="B21" t="s">
        <v>45</v>
      </c>
      <c r="C21" t="s">
        <v>76</v>
      </c>
      <c r="D21" t="s">
        <v>47</v>
      </c>
      <c r="E21" t="s">
        <v>83</v>
      </c>
      <c r="F21" t="s">
        <v>49</v>
      </c>
      <c r="G21" t="s">
        <v>89</v>
      </c>
      <c r="H21" t="s">
        <v>69</v>
      </c>
      <c r="I21" t="s">
        <v>70</v>
      </c>
      <c r="J21" t="s">
        <v>98</v>
      </c>
      <c r="K21" t="s">
        <v>54</v>
      </c>
      <c r="L21" t="s">
        <v>57</v>
      </c>
      <c r="M21" t="s">
        <v>72</v>
      </c>
      <c r="N21" t="s">
        <v>73</v>
      </c>
      <c r="O21" t="s">
        <v>73</v>
      </c>
      <c r="P21" t="s">
        <v>59</v>
      </c>
      <c r="Q21" t="s">
        <v>73</v>
      </c>
      <c r="R21" t="s">
        <v>73</v>
      </c>
      <c r="S21" t="s">
        <v>73</v>
      </c>
      <c r="T21" t="s">
        <v>59</v>
      </c>
      <c r="U21" t="s">
        <v>55</v>
      </c>
      <c r="V21" t="s">
        <v>57</v>
      </c>
      <c r="W21" t="s">
        <v>57</v>
      </c>
      <c r="X21" t="s">
        <v>59</v>
      </c>
      <c r="Y21" t="s">
        <v>55</v>
      </c>
      <c r="Z21" t="s">
        <v>57</v>
      </c>
      <c r="AA21" t="s">
        <v>57</v>
      </c>
      <c r="AB21" t="s">
        <v>55</v>
      </c>
      <c r="AC21" t="s">
        <v>59</v>
      </c>
      <c r="AD21" t="s">
        <v>57</v>
      </c>
      <c r="AE21" t="s">
        <v>58</v>
      </c>
      <c r="AF21" t="s">
        <v>60</v>
      </c>
      <c r="AG21" t="s">
        <v>57</v>
      </c>
      <c r="AH21" t="s">
        <v>61</v>
      </c>
      <c r="AI21" t="s">
        <v>59</v>
      </c>
      <c r="AJ21" t="s">
        <v>59</v>
      </c>
      <c r="AK21" t="s">
        <v>59</v>
      </c>
      <c r="AL21" t="s">
        <v>57</v>
      </c>
      <c r="AM21" t="s">
        <v>57</v>
      </c>
      <c r="AN21" t="s">
        <v>81</v>
      </c>
      <c r="AO21" t="s">
        <v>55</v>
      </c>
      <c r="AP21" t="s">
        <v>59</v>
      </c>
      <c r="AQ21" t="s">
        <v>58</v>
      </c>
      <c r="AR21" t="s">
        <v>73</v>
      </c>
      <c r="AT21" t="str">
        <f t="shared" si="0"/>
        <v>raczej tak</v>
      </c>
      <c r="AU21" t="str">
        <f t="shared" si="1"/>
        <v>od 150 do 169 godzin</v>
      </c>
      <c r="AV21">
        <f t="shared" si="2"/>
        <v>169</v>
      </c>
      <c r="AW21">
        <f t="shared" si="3"/>
        <v>1</v>
      </c>
      <c r="BA21" s="13"/>
    </row>
    <row r="22" spans="1:69" x14ac:dyDescent="0.2">
      <c r="A22" t="s">
        <v>169</v>
      </c>
      <c r="B22" t="s">
        <v>45</v>
      </c>
      <c r="C22" t="s">
        <v>76</v>
      </c>
      <c r="D22" t="s">
        <v>121</v>
      </c>
      <c r="E22" t="s">
        <v>103</v>
      </c>
      <c r="F22" t="s">
        <v>49</v>
      </c>
      <c r="G22" t="s">
        <v>93</v>
      </c>
      <c r="H22" t="s">
        <v>51</v>
      </c>
      <c r="I22" t="s">
        <v>70</v>
      </c>
      <c r="J22" t="s">
        <v>98</v>
      </c>
      <c r="K22" t="s">
        <v>54</v>
      </c>
      <c r="L22" t="s">
        <v>57</v>
      </c>
      <c r="M22" t="s">
        <v>51</v>
      </c>
      <c r="N22" t="s">
        <v>73</v>
      </c>
      <c r="O22" t="s">
        <v>85</v>
      </c>
      <c r="P22" t="s">
        <v>59</v>
      </c>
      <c r="Q22" t="s">
        <v>57</v>
      </c>
      <c r="R22" t="s">
        <v>57</v>
      </c>
      <c r="S22" t="s">
        <v>55</v>
      </c>
      <c r="T22" t="s">
        <v>57</v>
      </c>
      <c r="U22" t="s">
        <v>55</v>
      </c>
      <c r="V22" t="s">
        <v>57</v>
      </c>
      <c r="W22" t="s">
        <v>58</v>
      </c>
      <c r="X22" t="s">
        <v>59</v>
      </c>
      <c r="Y22" t="s">
        <v>57</v>
      </c>
      <c r="Z22" t="s">
        <v>57</v>
      </c>
      <c r="AA22" t="s">
        <v>57</v>
      </c>
      <c r="AB22" t="s">
        <v>57</v>
      </c>
      <c r="AC22" t="s">
        <v>58</v>
      </c>
      <c r="AD22" t="s">
        <v>57</v>
      </c>
      <c r="AE22" t="s">
        <v>58</v>
      </c>
      <c r="AF22" t="s">
        <v>60</v>
      </c>
      <c r="AG22" t="s">
        <v>57</v>
      </c>
      <c r="AH22" t="s">
        <v>86</v>
      </c>
      <c r="AI22" t="s">
        <v>57</v>
      </c>
      <c r="AJ22" t="s">
        <v>55</v>
      </c>
      <c r="AK22" t="s">
        <v>59</v>
      </c>
      <c r="AL22" t="s">
        <v>57</v>
      </c>
      <c r="AM22" t="s">
        <v>57</v>
      </c>
      <c r="AN22" t="s">
        <v>81</v>
      </c>
      <c r="AO22" t="s">
        <v>55</v>
      </c>
      <c r="AP22" t="s">
        <v>73</v>
      </c>
      <c r="AQ22" t="s">
        <v>57</v>
      </c>
      <c r="AR22" t="s">
        <v>73</v>
      </c>
      <c r="AT22" t="str">
        <f t="shared" si="0"/>
        <v>raczej tak</v>
      </c>
      <c r="AU22" t="str">
        <f t="shared" si="1"/>
        <v>od 150 do 169 godzin</v>
      </c>
      <c r="AV22">
        <f t="shared" si="2"/>
        <v>169</v>
      </c>
      <c r="AW22">
        <f t="shared" si="3"/>
        <v>1</v>
      </c>
      <c r="BA22" s="13"/>
    </row>
    <row r="23" spans="1:69" x14ac:dyDescent="0.2">
      <c r="A23" t="s">
        <v>224</v>
      </c>
      <c r="B23" t="s">
        <v>45</v>
      </c>
      <c r="C23" t="s">
        <v>76</v>
      </c>
      <c r="D23" t="s">
        <v>47</v>
      </c>
      <c r="E23" t="s">
        <v>126</v>
      </c>
      <c r="F23" t="s">
        <v>92</v>
      </c>
      <c r="G23" t="s">
        <v>93</v>
      </c>
      <c r="H23" t="s">
        <v>69</v>
      </c>
      <c r="I23" t="s">
        <v>70</v>
      </c>
      <c r="J23" t="s">
        <v>98</v>
      </c>
      <c r="K23" t="s">
        <v>71</v>
      </c>
      <c r="L23" t="s">
        <v>57</v>
      </c>
      <c r="M23" t="s">
        <v>72</v>
      </c>
      <c r="N23" t="s">
        <v>57</v>
      </c>
      <c r="O23" t="s">
        <v>85</v>
      </c>
      <c r="P23" t="s">
        <v>57</v>
      </c>
      <c r="Q23" t="s">
        <v>57</v>
      </c>
      <c r="R23" t="s">
        <v>57</v>
      </c>
      <c r="S23" t="s">
        <v>73</v>
      </c>
      <c r="T23" t="s">
        <v>58</v>
      </c>
      <c r="U23" t="s">
        <v>57</v>
      </c>
      <c r="V23" t="s">
        <v>57</v>
      </c>
      <c r="W23" t="s">
        <v>58</v>
      </c>
      <c r="X23" t="s">
        <v>59</v>
      </c>
      <c r="Y23" t="s">
        <v>55</v>
      </c>
      <c r="Z23" t="s">
        <v>55</v>
      </c>
      <c r="AA23" t="s">
        <v>57</v>
      </c>
      <c r="AB23" t="s">
        <v>57</v>
      </c>
      <c r="AC23" t="s">
        <v>57</v>
      </c>
      <c r="AD23" t="s">
        <v>57</v>
      </c>
      <c r="AE23" t="s">
        <v>55</v>
      </c>
      <c r="AF23" t="s">
        <v>60</v>
      </c>
      <c r="AG23" t="s">
        <v>73</v>
      </c>
      <c r="AH23" t="s">
        <v>61</v>
      </c>
      <c r="AI23" t="s">
        <v>57</v>
      </c>
      <c r="AJ23" t="s">
        <v>58</v>
      </c>
      <c r="AK23" t="s">
        <v>73</v>
      </c>
      <c r="AL23" t="s">
        <v>58</v>
      </c>
      <c r="AM23" t="s">
        <v>58</v>
      </c>
      <c r="AN23" t="s">
        <v>62</v>
      </c>
      <c r="AO23" t="s">
        <v>57</v>
      </c>
      <c r="AP23" t="s">
        <v>57</v>
      </c>
      <c r="AQ23" t="s">
        <v>57</v>
      </c>
      <c r="AR23" t="s">
        <v>58</v>
      </c>
      <c r="AT23" t="str">
        <f t="shared" si="0"/>
        <v>zdecydowanie tak</v>
      </c>
      <c r="AU23" t="str">
        <f t="shared" si="1"/>
        <v>od 150 do 169 godzin</v>
      </c>
      <c r="AV23">
        <f t="shared" si="2"/>
        <v>169</v>
      </c>
      <c r="AW23">
        <f t="shared" si="3"/>
        <v>2</v>
      </c>
      <c r="AY23" t="s">
        <v>290</v>
      </c>
      <c r="AZ23" s="18" t="s">
        <v>287</v>
      </c>
      <c r="BA23" s="19" t="s">
        <v>276</v>
      </c>
      <c r="BB23" t="str">
        <f>BB13</f>
        <v>do 169</v>
      </c>
      <c r="BC23" t="str">
        <f>BC13</f>
        <v>do 199</v>
      </c>
      <c r="BD23" t="str">
        <f>BD13</f>
        <v>200 i więcej</v>
      </c>
      <c r="BG23" t="s">
        <v>281</v>
      </c>
    </row>
    <row r="24" spans="1:69" x14ac:dyDescent="0.2">
      <c r="A24" t="s">
        <v>139</v>
      </c>
      <c r="B24" t="s">
        <v>45</v>
      </c>
      <c r="C24" t="s">
        <v>76</v>
      </c>
      <c r="D24" t="s">
        <v>47</v>
      </c>
      <c r="E24" t="s">
        <v>66</v>
      </c>
      <c r="F24" t="s">
        <v>92</v>
      </c>
      <c r="G24" t="s">
        <v>97</v>
      </c>
      <c r="H24" t="s">
        <v>56</v>
      </c>
      <c r="I24" t="s">
        <v>52</v>
      </c>
      <c r="J24" t="s">
        <v>53</v>
      </c>
      <c r="K24" t="s">
        <v>54</v>
      </c>
      <c r="L24" t="s">
        <v>57</v>
      </c>
      <c r="M24" t="s">
        <v>56</v>
      </c>
      <c r="N24" t="s">
        <v>58</v>
      </c>
      <c r="O24" t="s">
        <v>85</v>
      </c>
      <c r="P24" t="s">
        <v>55</v>
      </c>
      <c r="Q24" t="s">
        <v>57</v>
      </c>
      <c r="R24" t="s">
        <v>73</v>
      </c>
      <c r="S24" t="s">
        <v>73</v>
      </c>
      <c r="T24" t="s">
        <v>59</v>
      </c>
      <c r="U24" t="s">
        <v>57</v>
      </c>
      <c r="V24" t="s">
        <v>57</v>
      </c>
      <c r="W24" t="s">
        <v>57</v>
      </c>
      <c r="X24" t="s">
        <v>59</v>
      </c>
      <c r="Y24" t="s">
        <v>73</v>
      </c>
      <c r="Z24" t="s">
        <v>58</v>
      </c>
      <c r="AA24" t="s">
        <v>57</v>
      </c>
      <c r="AB24" t="s">
        <v>57</v>
      </c>
      <c r="AC24" t="s">
        <v>55</v>
      </c>
      <c r="AD24" t="s">
        <v>58</v>
      </c>
      <c r="AE24" t="s">
        <v>55</v>
      </c>
      <c r="AF24" t="s">
        <v>94</v>
      </c>
      <c r="AG24" t="s">
        <v>58</v>
      </c>
      <c r="AH24" t="s">
        <v>61</v>
      </c>
      <c r="AI24" t="s">
        <v>55</v>
      </c>
      <c r="AJ24" t="s">
        <v>55</v>
      </c>
      <c r="AK24" t="s">
        <v>55</v>
      </c>
      <c r="AL24" t="s">
        <v>57</v>
      </c>
      <c r="AM24" t="s">
        <v>58</v>
      </c>
      <c r="AN24" t="s">
        <v>62</v>
      </c>
      <c r="AO24" t="s">
        <v>59</v>
      </c>
      <c r="AP24" t="s">
        <v>55</v>
      </c>
      <c r="AQ24" t="s">
        <v>55</v>
      </c>
      <c r="AR24" t="s">
        <v>58</v>
      </c>
      <c r="AT24" t="str">
        <f t="shared" si="0"/>
        <v>raczej tak</v>
      </c>
      <c r="AU24" t="str">
        <f t="shared" si="1"/>
        <v>od 170 do 199 godzin</v>
      </c>
      <c r="AV24">
        <f t="shared" si="2"/>
        <v>199</v>
      </c>
      <c r="AW24">
        <f t="shared" si="3"/>
        <v>1</v>
      </c>
      <c r="AY24" t="s">
        <v>291</v>
      </c>
      <c r="AZ24" s="20" t="s">
        <v>260</v>
      </c>
      <c r="BA24" s="13"/>
      <c r="BB24">
        <f>SUM(BB14:BB15)</f>
        <v>12</v>
      </c>
      <c r="BC24">
        <f t="shared" ref="BC24:BD24" si="17">SUM(BC14:BC15)</f>
        <v>7</v>
      </c>
      <c r="BD24">
        <f t="shared" si="17"/>
        <v>1</v>
      </c>
      <c r="BE24" s="10">
        <f>SUM(BB24:BD24)</f>
        <v>20</v>
      </c>
      <c r="BH24">
        <f>BB$26*$BE24/$BE$26</f>
        <v>11.304347826086957</v>
      </c>
      <c r="BI24">
        <f t="shared" ref="BI24:BJ24" si="18">BC$26*$BE24/$BE$26</f>
        <v>4.8695652173913047</v>
      </c>
      <c r="BJ24">
        <f t="shared" si="18"/>
        <v>3.8260869565217392</v>
      </c>
      <c r="BL24" s="22">
        <f>(BB24-BH24)*(BB24-BH24)/BH24</f>
        <v>4.2809364548494926E-2</v>
      </c>
      <c r="BM24" s="22">
        <f t="shared" ref="BM24:BN25" si="19">(BC24-BI24)*(BC24-BI24)/BI24</f>
        <v>0.93206521739130388</v>
      </c>
      <c r="BN24" s="22">
        <f t="shared" si="19"/>
        <v>2.0874505928853755</v>
      </c>
      <c r="BP24" t="s">
        <v>284</v>
      </c>
      <c r="BQ24">
        <v>2</v>
      </c>
    </row>
    <row r="25" spans="1:69" x14ac:dyDescent="0.2">
      <c r="A25" t="s">
        <v>156</v>
      </c>
      <c r="B25" t="s">
        <v>45</v>
      </c>
      <c r="C25" t="s">
        <v>76</v>
      </c>
      <c r="D25" t="s">
        <v>121</v>
      </c>
      <c r="E25" t="s">
        <v>103</v>
      </c>
      <c r="F25" t="s">
        <v>49</v>
      </c>
      <c r="G25" t="s">
        <v>50</v>
      </c>
      <c r="H25" t="s">
        <v>78</v>
      </c>
      <c r="I25" t="s">
        <v>70</v>
      </c>
      <c r="J25" t="s">
        <v>53</v>
      </c>
      <c r="K25" t="s">
        <v>54</v>
      </c>
      <c r="L25" t="s">
        <v>57</v>
      </c>
      <c r="M25" t="s">
        <v>78</v>
      </c>
      <c r="N25" t="s">
        <v>85</v>
      </c>
      <c r="O25" t="s">
        <v>73</v>
      </c>
      <c r="P25" t="s">
        <v>55</v>
      </c>
      <c r="Q25" t="s">
        <v>55</v>
      </c>
      <c r="R25" t="s">
        <v>55</v>
      </c>
      <c r="S25" t="s">
        <v>73</v>
      </c>
      <c r="T25" t="s">
        <v>55</v>
      </c>
      <c r="U25" t="s">
        <v>55</v>
      </c>
      <c r="V25" t="s">
        <v>57</v>
      </c>
      <c r="W25" t="s">
        <v>57</v>
      </c>
      <c r="X25" t="s">
        <v>57</v>
      </c>
      <c r="Y25" t="s">
        <v>57</v>
      </c>
      <c r="Z25" t="s">
        <v>57</v>
      </c>
      <c r="AA25" t="s">
        <v>57</v>
      </c>
      <c r="AB25" t="s">
        <v>73</v>
      </c>
      <c r="AC25" t="s">
        <v>57</v>
      </c>
      <c r="AD25" t="s">
        <v>58</v>
      </c>
      <c r="AE25" t="s">
        <v>58</v>
      </c>
      <c r="AF25" t="s">
        <v>60</v>
      </c>
      <c r="AG25" t="s">
        <v>58</v>
      </c>
      <c r="AH25" t="s">
        <v>61</v>
      </c>
      <c r="AI25" t="s">
        <v>59</v>
      </c>
      <c r="AJ25" t="s">
        <v>57</v>
      </c>
      <c r="AK25" t="s">
        <v>55</v>
      </c>
      <c r="AL25" t="s">
        <v>58</v>
      </c>
      <c r="AM25" t="s">
        <v>58</v>
      </c>
      <c r="AN25" t="s">
        <v>62</v>
      </c>
      <c r="AO25" t="s">
        <v>55</v>
      </c>
      <c r="AP25" t="s">
        <v>55</v>
      </c>
      <c r="AQ25" t="s">
        <v>57</v>
      </c>
      <c r="AR25" t="s">
        <v>59</v>
      </c>
      <c r="AT25" t="str">
        <f t="shared" si="0"/>
        <v>zdecydowanie tak</v>
      </c>
      <c r="AU25" t="str">
        <f t="shared" si="1"/>
        <v>od 170 do 199 godzin</v>
      </c>
      <c r="AV25">
        <f t="shared" si="2"/>
        <v>199</v>
      </c>
      <c r="AW25">
        <f t="shared" si="3"/>
        <v>2</v>
      </c>
      <c r="AZ25" s="20" t="s">
        <v>94</v>
      </c>
      <c r="BA25" s="13"/>
      <c r="BB25">
        <f>SUM(BB16:BB18)</f>
        <v>53</v>
      </c>
      <c r="BC25">
        <f t="shared" ref="BC25:BD25" si="20">SUM(BC16:BC18)</f>
        <v>21</v>
      </c>
      <c r="BD25">
        <f t="shared" si="20"/>
        <v>21</v>
      </c>
      <c r="BE25" s="10">
        <f>SUM(BB25:BD25)</f>
        <v>95</v>
      </c>
      <c r="BH25">
        <f>BB$26*$BE25/$BE$26</f>
        <v>53.695652173913047</v>
      </c>
      <c r="BI25">
        <f t="shared" ref="BI25" si="21">BC$26*$BE25/$BE$26</f>
        <v>23.130434782608695</v>
      </c>
      <c r="BJ25">
        <f>BD$26*$BE25/$BE$26</f>
        <v>18.173913043478262</v>
      </c>
      <c r="BL25" s="22">
        <f>(BB25-BH25)*(BB25-BH25)/BH25</f>
        <v>9.0124977996832341E-3</v>
      </c>
      <c r="BM25" s="22">
        <f t="shared" si="19"/>
        <v>0.1962242562929061</v>
      </c>
      <c r="BN25" s="22">
        <f t="shared" si="19"/>
        <v>0.43946328271271035</v>
      </c>
      <c r="BP25" t="s">
        <v>251</v>
      </c>
    </row>
    <row r="26" spans="1:69" x14ac:dyDescent="0.2">
      <c r="A26" t="s">
        <v>204</v>
      </c>
      <c r="B26" t="s">
        <v>45</v>
      </c>
      <c r="C26" t="s">
        <v>76</v>
      </c>
      <c r="D26" t="s">
        <v>121</v>
      </c>
      <c r="E26" t="s">
        <v>103</v>
      </c>
      <c r="F26" t="s">
        <v>49</v>
      </c>
      <c r="G26" t="s">
        <v>97</v>
      </c>
      <c r="H26" t="s">
        <v>78</v>
      </c>
      <c r="I26" t="s">
        <v>52</v>
      </c>
      <c r="J26" t="s">
        <v>53</v>
      </c>
      <c r="K26" t="s">
        <v>54</v>
      </c>
      <c r="L26" t="s">
        <v>58</v>
      </c>
      <c r="M26" t="s">
        <v>72</v>
      </c>
      <c r="N26" t="s">
        <v>57</v>
      </c>
      <c r="O26" t="s">
        <v>85</v>
      </c>
      <c r="P26" t="s">
        <v>55</v>
      </c>
      <c r="Q26" t="s">
        <v>55</v>
      </c>
      <c r="R26" t="s">
        <v>57</v>
      </c>
      <c r="S26" t="s">
        <v>73</v>
      </c>
      <c r="T26" t="s">
        <v>57</v>
      </c>
      <c r="U26" t="s">
        <v>58</v>
      </c>
      <c r="V26" t="s">
        <v>59</v>
      </c>
      <c r="W26" t="s">
        <v>58</v>
      </c>
      <c r="X26" t="s">
        <v>59</v>
      </c>
      <c r="Y26" t="s">
        <v>57</v>
      </c>
      <c r="Z26" t="s">
        <v>58</v>
      </c>
      <c r="AA26" t="s">
        <v>58</v>
      </c>
      <c r="AB26" t="s">
        <v>59</v>
      </c>
      <c r="AC26" t="s">
        <v>57</v>
      </c>
      <c r="AD26" t="s">
        <v>58</v>
      </c>
      <c r="AE26" t="s">
        <v>58</v>
      </c>
      <c r="AF26" t="s">
        <v>60</v>
      </c>
      <c r="AG26" t="s">
        <v>57</v>
      </c>
      <c r="AH26" t="s">
        <v>61</v>
      </c>
      <c r="AI26" t="s">
        <v>59</v>
      </c>
      <c r="AJ26" t="s">
        <v>57</v>
      </c>
      <c r="AK26" t="s">
        <v>59</v>
      </c>
      <c r="AL26" t="s">
        <v>58</v>
      </c>
      <c r="AM26" t="s">
        <v>57</v>
      </c>
      <c r="AN26" t="s">
        <v>81</v>
      </c>
      <c r="AO26" t="s">
        <v>55</v>
      </c>
      <c r="AP26" t="s">
        <v>59</v>
      </c>
      <c r="AQ26" t="s">
        <v>58</v>
      </c>
      <c r="AR26" t="s">
        <v>73</v>
      </c>
      <c r="AT26" t="str">
        <f t="shared" si="0"/>
        <v>zdecydowanie tak</v>
      </c>
      <c r="AU26" t="str">
        <f t="shared" si="1"/>
        <v>od 170 do 199 godzin</v>
      </c>
      <c r="AV26">
        <f t="shared" si="2"/>
        <v>199</v>
      </c>
      <c r="AW26">
        <f t="shared" si="3"/>
        <v>2</v>
      </c>
      <c r="AZ26" s="5"/>
      <c r="BA26" s="13"/>
      <c r="BB26" s="10">
        <f>SUM(BB24:BB25)</f>
        <v>65</v>
      </c>
      <c r="BC26" s="10">
        <f>SUM(BC24:BC25)</f>
        <v>28</v>
      </c>
      <c r="BD26" s="10">
        <f>SUM(BD24:BD25)</f>
        <v>22</v>
      </c>
      <c r="BE26" s="21">
        <f>SUM(BB26:BD26)</f>
        <v>115</v>
      </c>
    </row>
    <row r="27" spans="1:69" x14ac:dyDescent="0.2">
      <c r="A27" t="s">
        <v>213</v>
      </c>
      <c r="B27" t="s">
        <v>45</v>
      </c>
      <c r="C27" t="s">
        <v>76</v>
      </c>
      <c r="D27" t="s">
        <v>121</v>
      </c>
      <c r="E27" t="s">
        <v>103</v>
      </c>
      <c r="F27" t="s">
        <v>67</v>
      </c>
      <c r="G27" t="s">
        <v>68</v>
      </c>
      <c r="H27" t="s">
        <v>56</v>
      </c>
      <c r="I27" t="s">
        <v>52</v>
      </c>
      <c r="J27" t="s">
        <v>53</v>
      </c>
      <c r="K27" t="s">
        <v>54</v>
      </c>
      <c r="L27" t="s">
        <v>57</v>
      </c>
      <c r="M27" t="s">
        <v>56</v>
      </c>
      <c r="N27" t="s">
        <v>57</v>
      </c>
      <c r="O27" t="s">
        <v>57</v>
      </c>
      <c r="P27" t="s">
        <v>57</v>
      </c>
      <c r="Q27" t="s">
        <v>57</v>
      </c>
      <c r="R27" t="s">
        <v>57</v>
      </c>
      <c r="S27" t="s">
        <v>55</v>
      </c>
      <c r="T27" t="s">
        <v>55</v>
      </c>
      <c r="U27" t="s">
        <v>55</v>
      </c>
      <c r="V27" t="s">
        <v>58</v>
      </c>
      <c r="W27" t="s">
        <v>57</v>
      </c>
      <c r="X27" t="s">
        <v>58</v>
      </c>
      <c r="Y27" t="s">
        <v>73</v>
      </c>
      <c r="Z27" t="s">
        <v>57</v>
      </c>
      <c r="AA27" t="s">
        <v>73</v>
      </c>
      <c r="AB27" t="s">
        <v>58</v>
      </c>
      <c r="AC27" t="s">
        <v>57</v>
      </c>
      <c r="AD27" t="s">
        <v>59</v>
      </c>
      <c r="AE27" t="s">
        <v>55</v>
      </c>
      <c r="AF27" t="s">
        <v>60</v>
      </c>
      <c r="AG27" t="s">
        <v>73</v>
      </c>
      <c r="AH27" t="s">
        <v>61</v>
      </c>
      <c r="AI27" t="s">
        <v>59</v>
      </c>
      <c r="AJ27" t="s">
        <v>55</v>
      </c>
      <c r="AK27" t="s">
        <v>73</v>
      </c>
      <c r="AL27" t="s">
        <v>58</v>
      </c>
      <c r="AM27" t="s">
        <v>59</v>
      </c>
      <c r="AN27" t="s">
        <v>62</v>
      </c>
      <c r="AO27" t="s">
        <v>55</v>
      </c>
      <c r="AP27" t="s">
        <v>55</v>
      </c>
      <c r="AQ27" t="s">
        <v>57</v>
      </c>
      <c r="AR27" t="s">
        <v>55</v>
      </c>
      <c r="AT27" t="str">
        <f t="shared" si="0"/>
        <v>zdecydowanie tak</v>
      </c>
      <c r="AU27" t="str">
        <f t="shared" si="1"/>
        <v>od 170 do 199 godzin</v>
      </c>
      <c r="AV27">
        <f t="shared" si="2"/>
        <v>199</v>
      </c>
      <c r="AW27">
        <f t="shared" si="3"/>
        <v>2</v>
      </c>
      <c r="AZ27" s="5"/>
      <c r="BA27" s="13"/>
      <c r="BL27" t="s">
        <v>269</v>
      </c>
      <c r="BM27" t="s">
        <v>282</v>
      </c>
      <c r="BN27" s="3">
        <f>SUM(BL24:BN25)</f>
        <v>3.7070252116304738</v>
      </c>
      <c r="BP27" t="s">
        <v>268</v>
      </c>
      <c r="BQ27">
        <f>CHITEST(BB24:BD25,BH24:BJ25)</f>
        <v>0.15668582302158096</v>
      </c>
    </row>
    <row r="28" spans="1:69" x14ac:dyDescent="0.2">
      <c r="A28" t="s">
        <v>82</v>
      </c>
      <c r="B28" t="s">
        <v>64</v>
      </c>
      <c r="C28" t="s">
        <v>76</v>
      </c>
      <c r="D28" t="s">
        <v>47</v>
      </c>
      <c r="E28" t="s">
        <v>83</v>
      </c>
      <c r="F28" t="s">
        <v>49</v>
      </c>
      <c r="G28" t="s">
        <v>50</v>
      </c>
      <c r="H28" t="s">
        <v>78</v>
      </c>
      <c r="I28" t="s">
        <v>52</v>
      </c>
      <c r="J28" t="s">
        <v>84</v>
      </c>
      <c r="K28" t="s">
        <v>54</v>
      </c>
      <c r="L28" t="s">
        <v>73</v>
      </c>
      <c r="M28" t="s">
        <v>78</v>
      </c>
      <c r="N28" t="s">
        <v>85</v>
      </c>
      <c r="O28" t="s">
        <v>58</v>
      </c>
      <c r="P28" t="s">
        <v>73</v>
      </c>
      <c r="Q28" t="s">
        <v>58</v>
      </c>
      <c r="R28" t="s">
        <v>57</v>
      </c>
      <c r="S28" t="s">
        <v>55</v>
      </c>
      <c r="T28" t="s">
        <v>59</v>
      </c>
      <c r="U28" t="s">
        <v>57</v>
      </c>
      <c r="V28" t="s">
        <v>58</v>
      </c>
      <c r="W28" t="s">
        <v>58</v>
      </c>
      <c r="X28" t="s">
        <v>59</v>
      </c>
      <c r="Y28" t="s">
        <v>59</v>
      </c>
      <c r="Z28" t="s">
        <v>58</v>
      </c>
      <c r="AA28" t="s">
        <v>57</v>
      </c>
      <c r="AB28" t="s">
        <v>73</v>
      </c>
      <c r="AC28" t="s">
        <v>73</v>
      </c>
      <c r="AD28" t="s">
        <v>57</v>
      </c>
      <c r="AE28" t="s">
        <v>57</v>
      </c>
      <c r="AF28" t="s">
        <v>60</v>
      </c>
      <c r="AG28" t="s">
        <v>73</v>
      </c>
      <c r="AH28" t="s">
        <v>86</v>
      </c>
      <c r="AI28" t="s">
        <v>55</v>
      </c>
      <c r="AJ28" t="s">
        <v>57</v>
      </c>
      <c r="AK28" t="s">
        <v>57</v>
      </c>
      <c r="AL28" t="s">
        <v>58</v>
      </c>
      <c r="AM28" t="s">
        <v>57</v>
      </c>
      <c r="AN28" t="s">
        <v>81</v>
      </c>
      <c r="AO28" t="s">
        <v>58</v>
      </c>
      <c r="AP28" t="s">
        <v>73</v>
      </c>
      <c r="AQ28" t="s">
        <v>73</v>
      </c>
      <c r="AR28" t="s">
        <v>57</v>
      </c>
      <c r="AT28" t="str">
        <f t="shared" si="0"/>
        <v>zdecydowanie tak</v>
      </c>
      <c r="AU28" t="str">
        <f t="shared" si="1"/>
        <v>od 200 do 239 godzin</v>
      </c>
      <c r="AV28">
        <f t="shared" si="2"/>
        <v>239</v>
      </c>
      <c r="AW28">
        <f t="shared" si="3"/>
        <v>2</v>
      </c>
      <c r="AZ28" s="5"/>
      <c r="BA28" s="13"/>
    </row>
    <row r="29" spans="1:69" x14ac:dyDescent="0.2">
      <c r="A29" t="s">
        <v>173</v>
      </c>
      <c r="B29" t="s">
        <v>64</v>
      </c>
      <c r="C29" t="s">
        <v>76</v>
      </c>
      <c r="D29" t="s">
        <v>121</v>
      </c>
      <c r="E29" t="s">
        <v>103</v>
      </c>
      <c r="F29" t="s">
        <v>92</v>
      </c>
      <c r="G29" t="s">
        <v>68</v>
      </c>
      <c r="H29" t="s">
        <v>51</v>
      </c>
      <c r="I29" t="s">
        <v>52</v>
      </c>
      <c r="J29" t="s">
        <v>84</v>
      </c>
      <c r="K29" t="s">
        <v>71</v>
      </c>
      <c r="L29" t="s">
        <v>73</v>
      </c>
      <c r="M29" t="s">
        <v>56</v>
      </c>
      <c r="N29" t="s">
        <v>73</v>
      </c>
      <c r="O29" t="s">
        <v>73</v>
      </c>
      <c r="P29" t="s">
        <v>73</v>
      </c>
      <c r="Q29" t="s">
        <v>58</v>
      </c>
      <c r="R29" t="s">
        <v>57</v>
      </c>
      <c r="S29" t="s">
        <v>73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60</v>
      </c>
      <c r="AG29" t="s">
        <v>73</v>
      </c>
      <c r="AH29" t="s">
        <v>74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62</v>
      </c>
      <c r="AO29" t="s">
        <v>73</v>
      </c>
      <c r="AP29" t="s">
        <v>73</v>
      </c>
      <c r="AQ29" t="s">
        <v>73</v>
      </c>
      <c r="AR29" t="s">
        <v>73</v>
      </c>
      <c r="AT29" t="str">
        <f t="shared" si="0"/>
        <v>nie mam zdania</v>
      </c>
      <c r="AU29" t="str">
        <f t="shared" si="1"/>
        <v>od 200 do 239 godzin</v>
      </c>
      <c r="AV29">
        <f t="shared" si="2"/>
        <v>239</v>
      </c>
      <c r="AW29">
        <f t="shared" si="3"/>
        <v>0</v>
      </c>
      <c r="BA29" s="13"/>
    </row>
    <row r="30" spans="1:69" x14ac:dyDescent="0.2">
      <c r="A30" t="s">
        <v>210</v>
      </c>
      <c r="B30" t="s">
        <v>45</v>
      </c>
      <c r="C30" t="s">
        <v>76</v>
      </c>
      <c r="D30" t="s">
        <v>47</v>
      </c>
      <c r="E30" t="s">
        <v>103</v>
      </c>
      <c r="F30" t="s">
        <v>49</v>
      </c>
      <c r="G30" t="s">
        <v>89</v>
      </c>
      <c r="H30" t="s">
        <v>90</v>
      </c>
      <c r="I30" t="s">
        <v>52</v>
      </c>
      <c r="J30" t="s">
        <v>106</v>
      </c>
      <c r="K30" t="s">
        <v>54</v>
      </c>
      <c r="L30" t="s">
        <v>57</v>
      </c>
      <c r="M30" t="s">
        <v>56</v>
      </c>
      <c r="N30" t="s">
        <v>57</v>
      </c>
      <c r="O30" t="s">
        <v>85</v>
      </c>
      <c r="P30" t="s">
        <v>59</v>
      </c>
      <c r="Q30" t="s">
        <v>58</v>
      </c>
      <c r="R30" t="s">
        <v>57</v>
      </c>
      <c r="S30" t="s">
        <v>55</v>
      </c>
      <c r="T30" t="s">
        <v>59</v>
      </c>
      <c r="U30" t="s">
        <v>57</v>
      </c>
      <c r="V30" t="s">
        <v>57</v>
      </c>
      <c r="W30" t="s">
        <v>58</v>
      </c>
      <c r="X30" t="s">
        <v>55</v>
      </c>
      <c r="Y30" t="s">
        <v>55</v>
      </c>
      <c r="Z30" t="s">
        <v>58</v>
      </c>
      <c r="AA30" t="s">
        <v>57</v>
      </c>
      <c r="AB30" t="s">
        <v>58</v>
      </c>
      <c r="AC30" t="s">
        <v>57</v>
      </c>
      <c r="AD30" t="s">
        <v>58</v>
      </c>
      <c r="AE30" t="s">
        <v>57</v>
      </c>
      <c r="AF30" t="s">
        <v>60</v>
      </c>
      <c r="AG30" t="s">
        <v>57</v>
      </c>
      <c r="AH30" t="s">
        <v>61</v>
      </c>
      <c r="AI30" t="s">
        <v>55</v>
      </c>
      <c r="AJ30" t="s">
        <v>55</v>
      </c>
      <c r="AK30" t="s">
        <v>55</v>
      </c>
      <c r="AL30" t="s">
        <v>57</v>
      </c>
      <c r="AM30" t="s">
        <v>55</v>
      </c>
      <c r="AN30" t="s">
        <v>62</v>
      </c>
      <c r="AO30" t="s">
        <v>57</v>
      </c>
      <c r="AP30" t="s">
        <v>57</v>
      </c>
      <c r="AQ30" t="s">
        <v>57</v>
      </c>
      <c r="AR30" t="s">
        <v>57</v>
      </c>
      <c r="AT30" t="str">
        <f t="shared" si="0"/>
        <v>raczej tak</v>
      </c>
      <c r="AU30" t="str">
        <f t="shared" si="1"/>
        <v>od 240 do 259 godzin</v>
      </c>
      <c r="AV30">
        <f t="shared" si="2"/>
        <v>259</v>
      </c>
      <c r="AW30">
        <f t="shared" si="3"/>
        <v>1</v>
      </c>
      <c r="BA30" s="13"/>
    </row>
    <row r="31" spans="1:69" x14ac:dyDescent="0.2">
      <c r="A31" t="s">
        <v>119</v>
      </c>
      <c r="B31" t="s">
        <v>45</v>
      </c>
      <c r="C31" t="s">
        <v>120</v>
      </c>
      <c r="D31" t="s">
        <v>121</v>
      </c>
      <c r="E31" t="s">
        <v>83</v>
      </c>
      <c r="F31" t="s">
        <v>49</v>
      </c>
      <c r="G31" t="s">
        <v>93</v>
      </c>
      <c r="H31" t="s">
        <v>51</v>
      </c>
      <c r="I31" t="s">
        <v>70</v>
      </c>
      <c r="J31" t="s">
        <v>79</v>
      </c>
      <c r="K31" t="s">
        <v>80</v>
      </c>
      <c r="L31" t="s">
        <v>57</v>
      </c>
      <c r="M31" t="s">
        <v>72</v>
      </c>
      <c r="N31" t="s">
        <v>85</v>
      </c>
      <c r="O31" t="s">
        <v>73</v>
      </c>
      <c r="P31" t="s">
        <v>57</v>
      </c>
      <c r="Q31" t="s">
        <v>57</v>
      </c>
      <c r="R31" t="s">
        <v>55</v>
      </c>
      <c r="S31" t="s">
        <v>73</v>
      </c>
      <c r="T31" t="s">
        <v>57</v>
      </c>
      <c r="U31" t="s">
        <v>55</v>
      </c>
      <c r="V31" t="s">
        <v>57</v>
      </c>
      <c r="W31" t="s">
        <v>58</v>
      </c>
      <c r="X31" t="s">
        <v>59</v>
      </c>
      <c r="Y31" t="s">
        <v>73</v>
      </c>
      <c r="Z31" t="s">
        <v>57</v>
      </c>
      <c r="AA31" t="s">
        <v>58</v>
      </c>
      <c r="AB31" t="s">
        <v>55</v>
      </c>
      <c r="AC31" t="s">
        <v>55</v>
      </c>
      <c r="AD31" t="s">
        <v>58</v>
      </c>
      <c r="AE31" t="s">
        <v>58</v>
      </c>
      <c r="AF31" t="s">
        <v>60</v>
      </c>
      <c r="AG31" t="s">
        <v>59</v>
      </c>
      <c r="AH31" t="s">
        <v>61</v>
      </c>
      <c r="AI31" t="s">
        <v>73</v>
      </c>
      <c r="AJ31" t="s">
        <v>55</v>
      </c>
      <c r="AK31" t="s">
        <v>55</v>
      </c>
      <c r="AL31" t="s">
        <v>57</v>
      </c>
      <c r="AM31" t="s">
        <v>57</v>
      </c>
      <c r="AN31" t="s">
        <v>81</v>
      </c>
      <c r="AO31" t="s">
        <v>73</v>
      </c>
      <c r="AP31" t="s">
        <v>55</v>
      </c>
      <c r="AQ31" t="s">
        <v>57</v>
      </c>
      <c r="AR31" t="s">
        <v>58</v>
      </c>
      <c r="AT31" t="str">
        <f t="shared" si="0"/>
        <v>raczej tak</v>
      </c>
      <c r="AU31" t="str">
        <f t="shared" si="1"/>
        <v>do 149 godzin</v>
      </c>
      <c r="AV31">
        <f t="shared" si="2"/>
        <v>149</v>
      </c>
      <c r="AW31">
        <f t="shared" si="3"/>
        <v>1</v>
      </c>
      <c r="AY31" t="s">
        <v>289</v>
      </c>
      <c r="AZ31" s="18" t="s">
        <v>288</v>
      </c>
      <c r="BA31" s="19" t="s">
        <v>276</v>
      </c>
      <c r="BB31" t="str">
        <f>BB23</f>
        <v>do 169</v>
      </c>
      <c r="BC31" t="str">
        <f t="shared" ref="BC31:BD31" si="22">BC23</f>
        <v>do 199</v>
      </c>
      <c r="BD31" t="str">
        <f t="shared" si="22"/>
        <v>200 i więcej</v>
      </c>
      <c r="BG31" t="s">
        <v>281</v>
      </c>
    </row>
    <row r="32" spans="1:69" x14ac:dyDescent="0.2">
      <c r="A32" t="s">
        <v>166</v>
      </c>
      <c r="B32" t="s">
        <v>45</v>
      </c>
      <c r="C32" t="s">
        <v>120</v>
      </c>
      <c r="D32" t="s">
        <v>47</v>
      </c>
      <c r="E32" t="s">
        <v>103</v>
      </c>
      <c r="F32" t="s">
        <v>49</v>
      </c>
      <c r="G32" t="s">
        <v>97</v>
      </c>
      <c r="H32" t="s">
        <v>51</v>
      </c>
      <c r="I32" t="s">
        <v>70</v>
      </c>
      <c r="J32" t="s">
        <v>79</v>
      </c>
      <c r="K32" t="s">
        <v>80</v>
      </c>
      <c r="L32" t="s">
        <v>58</v>
      </c>
      <c r="M32" t="s">
        <v>56</v>
      </c>
      <c r="N32" t="s">
        <v>85</v>
      </c>
      <c r="O32" t="s">
        <v>57</v>
      </c>
      <c r="P32" t="s">
        <v>59</v>
      </c>
      <c r="Q32" t="s">
        <v>57</v>
      </c>
      <c r="R32" t="s">
        <v>55</v>
      </c>
      <c r="S32" t="s">
        <v>57</v>
      </c>
      <c r="T32" t="s">
        <v>57</v>
      </c>
      <c r="U32" t="s">
        <v>73</v>
      </c>
      <c r="V32" t="s">
        <v>58</v>
      </c>
      <c r="W32" t="s">
        <v>58</v>
      </c>
      <c r="X32" t="s">
        <v>58</v>
      </c>
      <c r="Y32" t="s">
        <v>55</v>
      </c>
      <c r="Z32" t="s">
        <v>58</v>
      </c>
      <c r="AA32" t="s">
        <v>73</v>
      </c>
      <c r="AB32" t="s">
        <v>57</v>
      </c>
      <c r="AC32" t="s">
        <v>57</v>
      </c>
      <c r="AD32" t="s">
        <v>58</v>
      </c>
      <c r="AE32" t="s">
        <v>57</v>
      </c>
      <c r="AF32" t="s">
        <v>94</v>
      </c>
      <c r="AG32" t="s">
        <v>57</v>
      </c>
      <c r="AH32" t="s">
        <v>61</v>
      </c>
      <c r="AI32" t="s">
        <v>55</v>
      </c>
      <c r="AJ32" t="s">
        <v>58</v>
      </c>
      <c r="AK32" t="s">
        <v>55</v>
      </c>
      <c r="AL32" t="s">
        <v>57</v>
      </c>
      <c r="AM32" t="s">
        <v>55</v>
      </c>
      <c r="AN32" t="s">
        <v>81</v>
      </c>
      <c r="AO32" t="s">
        <v>73</v>
      </c>
      <c r="AP32" t="s">
        <v>55</v>
      </c>
      <c r="AQ32" t="s">
        <v>58</v>
      </c>
      <c r="AR32" t="s">
        <v>58</v>
      </c>
      <c r="AT32" t="str">
        <f t="shared" si="0"/>
        <v>raczej tak</v>
      </c>
      <c r="AU32" t="str">
        <f t="shared" si="1"/>
        <v>do 149 godzin</v>
      </c>
      <c r="AV32">
        <f t="shared" si="2"/>
        <v>149</v>
      </c>
      <c r="AW32">
        <f t="shared" si="3"/>
        <v>1</v>
      </c>
      <c r="AZ32" s="20" t="s">
        <v>260</v>
      </c>
      <c r="BA32" s="13"/>
      <c r="BB32">
        <f>SUM(BB14:BB15)</f>
        <v>12</v>
      </c>
      <c r="BC32">
        <f t="shared" ref="BC32:BD32" si="23">SUM(BC14:BC15)</f>
        <v>7</v>
      </c>
      <c r="BD32">
        <f t="shared" si="23"/>
        <v>1</v>
      </c>
      <c r="BE32" s="10">
        <f>SUM(BB32:BD32)</f>
        <v>20</v>
      </c>
      <c r="BH32">
        <f>BB$34*$BE32/$BE$34</f>
        <v>11.25</v>
      </c>
      <c r="BI32">
        <f t="shared" ref="BI32:BJ33" si="24">BC$34*$BE32/$BE$34</f>
        <v>5</v>
      </c>
      <c r="BJ32">
        <f t="shared" si="24"/>
        <v>3.75</v>
      </c>
      <c r="BL32" s="22">
        <f>(BB32-BH32)*(BB32-BH32)/BH32</f>
        <v>0.05</v>
      </c>
      <c r="BM32" s="22">
        <f t="shared" ref="BM32:BN32" si="25">(BC32-BI32)*(BC32-BI32)/BI32</f>
        <v>0.8</v>
      </c>
      <c r="BN32" s="22">
        <f t="shared" si="25"/>
        <v>2.0166666666666666</v>
      </c>
      <c r="BP32" t="s">
        <v>284</v>
      </c>
      <c r="BQ32">
        <v>2</v>
      </c>
    </row>
    <row r="33" spans="1:69" x14ac:dyDescent="0.2">
      <c r="A33" t="s">
        <v>177</v>
      </c>
      <c r="B33" t="s">
        <v>45</v>
      </c>
      <c r="C33" t="s">
        <v>120</v>
      </c>
      <c r="D33" t="s">
        <v>47</v>
      </c>
      <c r="E33" t="s">
        <v>126</v>
      </c>
      <c r="F33" t="s">
        <v>49</v>
      </c>
      <c r="G33" t="s">
        <v>93</v>
      </c>
      <c r="H33" t="s">
        <v>69</v>
      </c>
      <c r="I33" t="s">
        <v>70</v>
      </c>
      <c r="J33" t="s">
        <v>79</v>
      </c>
      <c r="K33" t="s">
        <v>80</v>
      </c>
      <c r="L33" t="s">
        <v>58</v>
      </c>
      <c r="M33" t="s">
        <v>72</v>
      </c>
      <c r="N33" t="s">
        <v>57</v>
      </c>
      <c r="O33" t="s">
        <v>85</v>
      </c>
      <c r="P33" t="s">
        <v>57</v>
      </c>
      <c r="Q33" t="s">
        <v>57</v>
      </c>
      <c r="R33" t="s">
        <v>57</v>
      </c>
      <c r="S33" t="s">
        <v>57</v>
      </c>
      <c r="T33" t="s">
        <v>55</v>
      </c>
      <c r="U33" t="s">
        <v>57</v>
      </c>
      <c r="V33" t="s">
        <v>58</v>
      </c>
      <c r="W33" t="s">
        <v>58</v>
      </c>
      <c r="X33" t="s">
        <v>55</v>
      </c>
      <c r="Y33" t="s">
        <v>55</v>
      </c>
      <c r="Z33" t="s">
        <v>58</v>
      </c>
      <c r="AA33" t="s">
        <v>57</v>
      </c>
      <c r="AB33" t="s">
        <v>55</v>
      </c>
      <c r="AC33" t="s">
        <v>58</v>
      </c>
      <c r="AD33" t="s">
        <v>58</v>
      </c>
      <c r="AE33" t="s">
        <v>58</v>
      </c>
      <c r="AF33" t="s">
        <v>60</v>
      </c>
      <c r="AG33" t="s">
        <v>55</v>
      </c>
      <c r="AH33" t="s">
        <v>86</v>
      </c>
      <c r="AI33" t="s">
        <v>57</v>
      </c>
      <c r="AJ33" t="s">
        <v>73</v>
      </c>
      <c r="AK33" t="s">
        <v>58</v>
      </c>
      <c r="AL33" t="s">
        <v>55</v>
      </c>
      <c r="AM33" t="s">
        <v>58</v>
      </c>
      <c r="AN33" t="s">
        <v>62</v>
      </c>
      <c r="AO33" t="s">
        <v>73</v>
      </c>
      <c r="AP33" t="s">
        <v>55</v>
      </c>
      <c r="AQ33" t="s">
        <v>57</v>
      </c>
      <c r="AR33" t="s">
        <v>57</v>
      </c>
      <c r="AT33" t="str">
        <f t="shared" si="0"/>
        <v>raczej nie</v>
      </c>
      <c r="AU33" t="str">
        <f t="shared" si="1"/>
        <v>do 149 godzin</v>
      </c>
      <c r="AV33">
        <f t="shared" si="2"/>
        <v>149</v>
      </c>
      <c r="AW33">
        <f t="shared" si="3"/>
        <v>-1</v>
      </c>
      <c r="AZ33" s="20" t="s">
        <v>94</v>
      </c>
      <c r="BA33" s="13"/>
      <c r="BB33">
        <f>SUM(BB17:BB18)</f>
        <v>51</v>
      </c>
      <c r="BC33">
        <f t="shared" ref="BC33:BD33" si="26">SUM(BC17:BC18)</f>
        <v>21</v>
      </c>
      <c r="BD33">
        <f t="shared" si="26"/>
        <v>20</v>
      </c>
      <c r="BE33" s="10">
        <f>SUM(BB33:BD33)</f>
        <v>92</v>
      </c>
      <c r="BH33">
        <f>BB$34*$BE33/$BE$34</f>
        <v>51.75</v>
      </c>
      <c r="BI33">
        <f t="shared" si="24"/>
        <v>23</v>
      </c>
      <c r="BJ33">
        <f>BD$34*$BE33/$BE$34</f>
        <v>17.25</v>
      </c>
      <c r="BL33" s="22">
        <f>(BB33-BH33)*(BB33-BH33)/BH33</f>
        <v>1.0869565217391304E-2</v>
      </c>
      <c r="BM33" s="22">
        <f t="shared" ref="BM33" si="27">(BC33-BI33)*(BC33-BI33)/BI33</f>
        <v>0.17391304347826086</v>
      </c>
      <c r="BN33" s="22">
        <f>(BD33-BJ33)*(BD33-BJ33)/BJ33</f>
        <v>0.43840579710144928</v>
      </c>
      <c r="BP33" t="s">
        <v>251</v>
      </c>
    </row>
    <row r="34" spans="1:69" x14ac:dyDescent="0.2">
      <c r="A34" t="s">
        <v>130</v>
      </c>
      <c r="B34" t="s">
        <v>45</v>
      </c>
      <c r="C34" t="s">
        <v>120</v>
      </c>
      <c r="D34" t="s">
        <v>47</v>
      </c>
      <c r="E34" t="s">
        <v>113</v>
      </c>
      <c r="F34" t="s">
        <v>92</v>
      </c>
      <c r="G34" t="s">
        <v>89</v>
      </c>
      <c r="H34" t="s">
        <v>51</v>
      </c>
      <c r="I34" t="s">
        <v>70</v>
      </c>
      <c r="J34" t="s">
        <v>98</v>
      </c>
      <c r="K34" t="s">
        <v>80</v>
      </c>
      <c r="L34" t="s">
        <v>58</v>
      </c>
      <c r="M34" t="s">
        <v>78</v>
      </c>
      <c r="N34" t="s">
        <v>73</v>
      </c>
      <c r="O34" t="s">
        <v>57</v>
      </c>
      <c r="P34" t="s">
        <v>59</v>
      </c>
      <c r="Q34" t="s">
        <v>59</v>
      </c>
      <c r="R34" t="s">
        <v>59</v>
      </c>
      <c r="S34" t="s">
        <v>58</v>
      </c>
      <c r="T34" t="s">
        <v>55</v>
      </c>
      <c r="U34" t="s">
        <v>59</v>
      </c>
      <c r="V34" t="s">
        <v>59</v>
      </c>
      <c r="W34" t="s">
        <v>58</v>
      </c>
      <c r="X34" t="s">
        <v>59</v>
      </c>
      <c r="Y34" t="s">
        <v>59</v>
      </c>
      <c r="Z34" t="s">
        <v>57</v>
      </c>
      <c r="AA34" t="s">
        <v>58</v>
      </c>
      <c r="AB34" t="s">
        <v>58</v>
      </c>
      <c r="AC34" t="s">
        <v>55</v>
      </c>
      <c r="AD34" t="s">
        <v>58</v>
      </c>
      <c r="AE34" t="s">
        <v>58</v>
      </c>
      <c r="AF34" t="s">
        <v>60</v>
      </c>
      <c r="AG34" t="s">
        <v>58</v>
      </c>
      <c r="AH34" t="s">
        <v>61</v>
      </c>
      <c r="AI34" t="s">
        <v>59</v>
      </c>
      <c r="AJ34" t="s">
        <v>55</v>
      </c>
      <c r="AK34" t="s">
        <v>73</v>
      </c>
      <c r="AL34" t="s">
        <v>59</v>
      </c>
      <c r="AM34" t="s">
        <v>58</v>
      </c>
      <c r="AN34" t="s">
        <v>81</v>
      </c>
      <c r="AO34" t="s">
        <v>59</v>
      </c>
      <c r="AP34" t="s">
        <v>59</v>
      </c>
      <c r="AQ34" t="s">
        <v>57</v>
      </c>
      <c r="AR34" t="s">
        <v>58</v>
      </c>
      <c r="AT34" t="str">
        <f t="shared" si="0"/>
        <v>zdecydowanie nie</v>
      </c>
      <c r="AU34" t="str">
        <f t="shared" si="1"/>
        <v>od 150 do 169 godzin</v>
      </c>
      <c r="AV34">
        <f t="shared" si="2"/>
        <v>169</v>
      </c>
      <c r="AW34">
        <f t="shared" si="3"/>
        <v>-2</v>
      </c>
      <c r="AZ34" s="5"/>
      <c r="BA34" s="13"/>
      <c r="BB34" s="10">
        <f>SUM(BB32:BB33)</f>
        <v>63</v>
      </c>
      <c r="BC34" s="10">
        <f>SUM(BC32:BC33)</f>
        <v>28</v>
      </c>
      <c r="BD34" s="10">
        <f>SUM(BD32:BD33)</f>
        <v>21</v>
      </c>
      <c r="BE34" s="21">
        <f>SUM(BB34:BD34)</f>
        <v>112</v>
      </c>
    </row>
    <row r="35" spans="1:69" x14ac:dyDescent="0.2">
      <c r="A35" t="s">
        <v>138</v>
      </c>
      <c r="B35" t="s">
        <v>45</v>
      </c>
      <c r="C35" t="s">
        <v>120</v>
      </c>
      <c r="D35" t="s">
        <v>121</v>
      </c>
      <c r="E35" t="s">
        <v>103</v>
      </c>
      <c r="F35" t="s">
        <v>49</v>
      </c>
      <c r="G35" t="s">
        <v>50</v>
      </c>
      <c r="H35" t="s">
        <v>51</v>
      </c>
      <c r="I35" t="s">
        <v>70</v>
      </c>
      <c r="J35" t="s">
        <v>98</v>
      </c>
      <c r="K35" t="s">
        <v>54</v>
      </c>
      <c r="L35" t="s">
        <v>57</v>
      </c>
      <c r="M35" t="s">
        <v>51</v>
      </c>
      <c r="N35" t="s">
        <v>85</v>
      </c>
      <c r="O35" t="s">
        <v>57</v>
      </c>
      <c r="P35" t="s">
        <v>55</v>
      </c>
      <c r="Q35" t="s">
        <v>57</v>
      </c>
      <c r="R35" t="s">
        <v>55</v>
      </c>
      <c r="S35" t="s">
        <v>55</v>
      </c>
      <c r="T35" t="s">
        <v>55</v>
      </c>
      <c r="U35" t="s">
        <v>55</v>
      </c>
      <c r="V35" t="s">
        <v>55</v>
      </c>
      <c r="W35" t="s">
        <v>57</v>
      </c>
      <c r="X35" t="s">
        <v>59</v>
      </c>
      <c r="Y35" t="s">
        <v>57</v>
      </c>
      <c r="Z35" t="s">
        <v>55</v>
      </c>
      <c r="AA35" t="s">
        <v>58</v>
      </c>
      <c r="AB35" t="s">
        <v>58</v>
      </c>
      <c r="AC35" t="s">
        <v>55</v>
      </c>
      <c r="AD35" t="s">
        <v>57</v>
      </c>
      <c r="AE35" t="s">
        <v>57</v>
      </c>
      <c r="AF35" t="s">
        <v>94</v>
      </c>
      <c r="AG35" t="s">
        <v>55</v>
      </c>
      <c r="AH35" t="s">
        <v>61</v>
      </c>
      <c r="AI35" t="s">
        <v>55</v>
      </c>
      <c r="AJ35" t="s">
        <v>59</v>
      </c>
      <c r="AK35" t="s">
        <v>55</v>
      </c>
      <c r="AL35" t="s">
        <v>58</v>
      </c>
      <c r="AM35" t="s">
        <v>55</v>
      </c>
      <c r="AN35" t="s">
        <v>81</v>
      </c>
      <c r="AO35" t="s">
        <v>59</v>
      </c>
      <c r="AP35" t="s">
        <v>55</v>
      </c>
      <c r="AQ35" t="s">
        <v>57</v>
      </c>
      <c r="AR35" t="s">
        <v>55</v>
      </c>
      <c r="AT35" t="str">
        <f t="shared" si="0"/>
        <v>zdecydowanie tak</v>
      </c>
      <c r="AU35" t="str">
        <f t="shared" si="1"/>
        <v>od 150 do 169 godzin</v>
      </c>
      <c r="AV35">
        <f t="shared" si="2"/>
        <v>169</v>
      </c>
      <c r="AW35">
        <f t="shared" si="3"/>
        <v>2</v>
      </c>
      <c r="BA35" s="13"/>
      <c r="BL35" t="s">
        <v>269</v>
      </c>
      <c r="BM35" t="s">
        <v>282</v>
      </c>
      <c r="BN35" s="22">
        <f>SUM(BL32:BN33)</f>
        <v>3.4898550724637678</v>
      </c>
      <c r="BP35" t="s">
        <v>268</v>
      </c>
      <c r="BQ35">
        <f>CHITEST(BB32:BD33,BH32:BJ33)</f>
        <v>0.1746576448593353</v>
      </c>
    </row>
    <row r="36" spans="1:69" x14ac:dyDescent="0.2">
      <c r="A36" t="s">
        <v>158</v>
      </c>
      <c r="B36" t="s">
        <v>45</v>
      </c>
      <c r="C36" t="s">
        <v>120</v>
      </c>
      <c r="D36" t="s">
        <v>47</v>
      </c>
      <c r="E36" t="s">
        <v>66</v>
      </c>
      <c r="F36" t="s">
        <v>49</v>
      </c>
      <c r="G36" t="s">
        <v>68</v>
      </c>
      <c r="H36" t="s">
        <v>56</v>
      </c>
      <c r="I36" t="s">
        <v>70</v>
      </c>
      <c r="J36" t="s">
        <v>98</v>
      </c>
      <c r="K36" t="s">
        <v>54</v>
      </c>
      <c r="L36" t="s">
        <v>57</v>
      </c>
      <c r="M36" t="s">
        <v>56</v>
      </c>
      <c r="N36" t="s">
        <v>57</v>
      </c>
      <c r="O36" t="s">
        <v>57</v>
      </c>
      <c r="P36" t="s">
        <v>55</v>
      </c>
      <c r="Q36" t="s">
        <v>57</v>
      </c>
      <c r="R36" t="s">
        <v>57</v>
      </c>
      <c r="S36" t="s">
        <v>73</v>
      </c>
      <c r="T36" t="s">
        <v>55</v>
      </c>
      <c r="U36" t="s">
        <v>73</v>
      </c>
      <c r="V36" t="s">
        <v>58</v>
      </c>
      <c r="W36" t="s">
        <v>58</v>
      </c>
      <c r="X36" t="s">
        <v>59</v>
      </c>
      <c r="Y36" t="s">
        <v>59</v>
      </c>
      <c r="Z36" t="s">
        <v>58</v>
      </c>
      <c r="AA36" t="s">
        <v>73</v>
      </c>
      <c r="AB36" t="s">
        <v>57</v>
      </c>
      <c r="AC36" t="s">
        <v>58</v>
      </c>
      <c r="AD36" t="s">
        <v>58</v>
      </c>
      <c r="AE36" t="s">
        <v>57</v>
      </c>
      <c r="AF36" t="s">
        <v>60</v>
      </c>
      <c r="AG36" t="s">
        <v>58</v>
      </c>
      <c r="AH36" t="s">
        <v>74</v>
      </c>
      <c r="AI36" t="s">
        <v>73</v>
      </c>
      <c r="AJ36" t="s">
        <v>57</v>
      </c>
      <c r="AK36" t="s">
        <v>57</v>
      </c>
      <c r="AL36" t="s">
        <v>58</v>
      </c>
      <c r="AM36" t="s">
        <v>55</v>
      </c>
      <c r="AN36" t="s">
        <v>81</v>
      </c>
      <c r="AO36" t="s">
        <v>58</v>
      </c>
      <c r="AP36" t="s">
        <v>73</v>
      </c>
      <c r="AQ36" t="s">
        <v>73</v>
      </c>
      <c r="AR36" t="s">
        <v>55</v>
      </c>
      <c r="AT36" t="str">
        <f t="shared" si="0"/>
        <v>zdecydowanie tak</v>
      </c>
      <c r="AU36" t="str">
        <f t="shared" si="1"/>
        <v>od 150 do 169 godzin</v>
      </c>
      <c r="AV36">
        <f t="shared" si="2"/>
        <v>169</v>
      </c>
      <c r="AW36">
        <f t="shared" si="3"/>
        <v>2</v>
      </c>
      <c r="BA36" s="13"/>
    </row>
    <row r="37" spans="1:69" x14ac:dyDescent="0.2">
      <c r="A37" t="s">
        <v>183</v>
      </c>
      <c r="B37" t="s">
        <v>45</v>
      </c>
      <c r="C37" t="s">
        <v>120</v>
      </c>
      <c r="D37" t="s">
        <v>47</v>
      </c>
      <c r="E37" t="s">
        <v>184</v>
      </c>
      <c r="F37" t="s">
        <v>49</v>
      </c>
      <c r="G37" t="s">
        <v>93</v>
      </c>
      <c r="H37" t="s">
        <v>56</v>
      </c>
      <c r="I37" t="s">
        <v>70</v>
      </c>
      <c r="J37" t="s">
        <v>98</v>
      </c>
      <c r="K37" t="s">
        <v>80</v>
      </c>
      <c r="L37" t="s">
        <v>57</v>
      </c>
      <c r="M37" t="s">
        <v>78</v>
      </c>
      <c r="N37" t="s">
        <v>57</v>
      </c>
      <c r="O37" t="s">
        <v>57</v>
      </c>
      <c r="P37" t="s">
        <v>57</v>
      </c>
      <c r="Q37" t="s">
        <v>57</v>
      </c>
      <c r="R37" t="s">
        <v>59</v>
      </c>
      <c r="S37" t="s">
        <v>57</v>
      </c>
      <c r="T37" t="s">
        <v>59</v>
      </c>
      <c r="U37" t="s">
        <v>57</v>
      </c>
      <c r="V37" t="s">
        <v>55</v>
      </c>
      <c r="W37" t="s">
        <v>58</v>
      </c>
      <c r="X37" t="s">
        <v>59</v>
      </c>
      <c r="Y37" t="s">
        <v>57</v>
      </c>
      <c r="Z37" t="s">
        <v>58</v>
      </c>
      <c r="AA37" t="s">
        <v>58</v>
      </c>
      <c r="AB37" t="s">
        <v>57</v>
      </c>
      <c r="AC37" t="s">
        <v>59</v>
      </c>
      <c r="AD37" t="s">
        <v>58</v>
      </c>
      <c r="AE37" t="s">
        <v>58</v>
      </c>
      <c r="AF37" t="s">
        <v>60</v>
      </c>
      <c r="AG37" t="s">
        <v>58</v>
      </c>
      <c r="AH37" t="s">
        <v>61</v>
      </c>
      <c r="AI37" t="s">
        <v>59</v>
      </c>
      <c r="AJ37" t="s">
        <v>55</v>
      </c>
      <c r="AK37" t="s">
        <v>59</v>
      </c>
      <c r="AL37" t="s">
        <v>58</v>
      </c>
      <c r="AM37" t="s">
        <v>58</v>
      </c>
      <c r="AN37" t="s">
        <v>62</v>
      </c>
      <c r="AO37" t="s">
        <v>55</v>
      </c>
      <c r="AP37" t="s">
        <v>55</v>
      </c>
      <c r="AQ37" t="s">
        <v>55</v>
      </c>
      <c r="AR37" t="s">
        <v>58</v>
      </c>
      <c r="AT37" t="str">
        <f t="shared" si="0"/>
        <v>zdecydowanie tak</v>
      </c>
      <c r="AU37" t="str">
        <f t="shared" si="1"/>
        <v>od 150 do 169 godzin</v>
      </c>
      <c r="AV37">
        <f t="shared" si="2"/>
        <v>169</v>
      </c>
      <c r="AW37">
        <f t="shared" si="3"/>
        <v>2</v>
      </c>
      <c r="BA37" s="13"/>
    </row>
    <row r="38" spans="1:69" x14ac:dyDescent="0.2">
      <c r="A38" t="s">
        <v>185</v>
      </c>
      <c r="B38" t="s">
        <v>45</v>
      </c>
      <c r="C38" t="s">
        <v>120</v>
      </c>
      <c r="D38" t="s">
        <v>123</v>
      </c>
      <c r="E38" t="s">
        <v>126</v>
      </c>
      <c r="F38" t="s">
        <v>49</v>
      </c>
      <c r="G38" t="s">
        <v>89</v>
      </c>
      <c r="H38" t="s">
        <v>51</v>
      </c>
      <c r="I38" t="s">
        <v>70</v>
      </c>
      <c r="J38" t="s">
        <v>98</v>
      </c>
      <c r="K38" t="s">
        <v>54</v>
      </c>
      <c r="L38" t="s">
        <v>73</v>
      </c>
      <c r="M38" t="s">
        <v>51</v>
      </c>
      <c r="N38" t="s">
        <v>57</v>
      </c>
      <c r="O38" t="s">
        <v>85</v>
      </c>
      <c r="P38" t="s">
        <v>55</v>
      </c>
      <c r="Q38" t="s">
        <v>57</v>
      </c>
      <c r="R38" t="s">
        <v>55</v>
      </c>
      <c r="S38" t="s">
        <v>55</v>
      </c>
      <c r="T38" t="s">
        <v>57</v>
      </c>
      <c r="U38" t="s">
        <v>57</v>
      </c>
      <c r="V38" t="s">
        <v>57</v>
      </c>
      <c r="W38" t="s">
        <v>58</v>
      </c>
      <c r="X38" t="s">
        <v>58</v>
      </c>
      <c r="Y38" t="s">
        <v>55</v>
      </c>
      <c r="Z38" t="s">
        <v>57</v>
      </c>
      <c r="AA38" t="s">
        <v>55</v>
      </c>
      <c r="AB38" t="s">
        <v>57</v>
      </c>
      <c r="AC38" t="s">
        <v>58</v>
      </c>
      <c r="AD38" t="s">
        <v>55</v>
      </c>
      <c r="AE38" t="s">
        <v>55</v>
      </c>
      <c r="AF38" t="s">
        <v>60</v>
      </c>
      <c r="AG38" t="s">
        <v>57</v>
      </c>
      <c r="AH38" t="s">
        <v>61</v>
      </c>
      <c r="AI38" t="s">
        <v>55</v>
      </c>
      <c r="AJ38" t="s">
        <v>55</v>
      </c>
      <c r="AK38" t="s">
        <v>57</v>
      </c>
      <c r="AL38" t="s">
        <v>57</v>
      </c>
      <c r="AM38" t="s">
        <v>57</v>
      </c>
      <c r="AN38" t="s">
        <v>81</v>
      </c>
      <c r="AO38" t="s">
        <v>73</v>
      </c>
      <c r="AP38" t="s">
        <v>58</v>
      </c>
      <c r="AQ38" t="s">
        <v>55</v>
      </c>
      <c r="AR38" t="s">
        <v>55</v>
      </c>
      <c r="AT38" t="str">
        <f t="shared" si="0"/>
        <v>raczej tak</v>
      </c>
      <c r="AU38" t="str">
        <f t="shared" si="1"/>
        <v>od 150 do 169 godzin</v>
      </c>
      <c r="AV38">
        <f t="shared" si="2"/>
        <v>169</v>
      </c>
      <c r="AW38">
        <f t="shared" si="3"/>
        <v>1</v>
      </c>
      <c r="BA38" s="13"/>
    </row>
    <row r="39" spans="1:69" x14ac:dyDescent="0.2">
      <c r="A39" t="s">
        <v>187</v>
      </c>
      <c r="B39" t="s">
        <v>45</v>
      </c>
      <c r="C39" t="s">
        <v>120</v>
      </c>
      <c r="D39" t="s">
        <v>121</v>
      </c>
      <c r="E39" t="s">
        <v>48</v>
      </c>
      <c r="F39" t="s">
        <v>49</v>
      </c>
      <c r="G39" t="s">
        <v>93</v>
      </c>
      <c r="H39" t="s">
        <v>51</v>
      </c>
      <c r="I39" t="s">
        <v>70</v>
      </c>
      <c r="J39" t="s">
        <v>98</v>
      </c>
      <c r="K39" t="s">
        <v>80</v>
      </c>
      <c r="L39" t="s">
        <v>58</v>
      </c>
      <c r="M39" t="s">
        <v>51</v>
      </c>
      <c r="N39" t="s">
        <v>57</v>
      </c>
      <c r="O39" t="s">
        <v>57</v>
      </c>
      <c r="P39" t="s">
        <v>59</v>
      </c>
      <c r="Q39" t="s">
        <v>57</v>
      </c>
      <c r="R39" t="s">
        <v>55</v>
      </c>
      <c r="S39" t="s">
        <v>73</v>
      </c>
      <c r="T39" t="s">
        <v>55</v>
      </c>
      <c r="U39" t="s">
        <v>59</v>
      </c>
      <c r="V39" t="s">
        <v>59</v>
      </c>
      <c r="W39" t="s">
        <v>58</v>
      </c>
      <c r="X39" t="s">
        <v>55</v>
      </c>
      <c r="Y39" t="s">
        <v>58</v>
      </c>
      <c r="Z39" t="s">
        <v>58</v>
      </c>
      <c r="AA39" t="s">
        <v>55</v>
      </c>
      <c r="AB39" t="s">
        <v>59</v>
      </c>
      <c r="AC39" t="s">
        <v>55</v>
      </c>
      <c r="AD39" t="s">
        <v>57</v>
      </c>
      <c r="AE39" t="s">
        <v>57</v>
      </c>
      <c r="AF39" t="s">
        <v>94</v>
      </c>
      <c r="AG39" t="s">
        <v>58</v>
      </c>
      <c r="AH39" t="s">
        <v>61</v>
      </c>
      <c r="AI39" t="s">
        <v>59</v>
      </c>
      <c r="AJ39" t="s">
        <v>58</v>
      </c>
      <c r="AK39" t="s">
        <v>59</v>
      </c>
      <c r="AL39" t="s">
        <v>58</v>
      </c>
      <c r="AM39" t="s">
        <v>55</v>
      </c>
      <c r="AN39" t="s">
        <v>81</v>
      </c>
      <c r="AO39" t="s">
        <v>58</v>
      </c>
      <c r="AP39" t="s">
        <v>55</v>
      </c>
      <c r="AQ39" t="s">
        <v>58</v>
      </c>
      <c r="AR39" t="s">
        <v>57</v>
      </c>
      <c r="AT39" t="str">
        <f t="shared" si="0"/>
        <v>zdecydowanie tak</v>
      </c>
      <c r="AU39" t="str">
        <f t="shared" si="1"/>
        <v>od 150 do 169 godzin</v>
      </c>
      <c r="AV39">
        <f t="shared" si="2"/>
        <v>169</v>
      </c>
      <c r="AW39">
        <f t="shared" si="3"/>
        <v>2</v>
      </c>
      <c r="BA39" s="13"/>
    </row>
    <row r="40" spans="1:69" x14ac:dyDescent="0.2">
      <c r="A40" t="s">
        <v>199</v>
      </c>
      <c r="B40" t="s">
        <v>45</v>
      </c>
      <c r="C40" t="s">
        <v>120</v>
      </c>
      <c r="D40" t="s">
        <v>47</v>
      </c>
      <c r="E40" t="s">
        <v>83</v>
      </c>
      <c r="F40" t="s">
        <v>49</v>
      </c>
      <c r="G40" t="s">
        <v>89</v>
      </c>
      <c r="H40" t="s">
        <v>69</v>
      </c>
      <c r="I40" t="s">
        <v>52</v>
      </c>
      <c r="J40" t="s">
        <v>98</v>
      </c>
      <c r="K40" t="s">
        <v>54</v>
      </c>
      <c r="L40" t="s">
        <v>57</v>
      </c>
      <c r="M40" t="s">
        <v>72</v>
      </c>
      <c r="N40" t="s">
        <v>57</v>
      </c>
      <c r="O40" t="s">
        <v>85</v>
      </c>
      <c r="P40" t="s">
        <v>55</v>
      </c>
      <c r="Q40" t="s">
        <v>73</v>
      </c>
      <c r="R40" t="s">
        <v>73</v>
      </c>
      <c r="S40" t="s">
        <v>73</v>
      </c>
      <c r="T40" t="s">
        <v>55</v>
      </c>
      <c r="U40" t="s">
        <v>57</v>
      </c>
      <c r="V40" t="s">
        <v>57</v>
      </c>
      <c r="W40" t="s">
        <v>55</v>
      </c>
      <c r="X40" t="s">
        <v>55</v>
      </c>
      <c r="Y40" t="s">
        <v>55</v>
      </c>
      <c r="Z40" t="s">
        <v>57</v>
      </c>
      <c r="AA40" t="s">
        <v>57</v>
      </c>
      <c r="AB40" t="s">
        <v>57</v>
      </c>
      <c r="AC40" t="s">
        <v>73</v>
      </c>
      <c r="AD40" t="s">
        <v>57</v>
      </c>
      <c r="AE40" t="s">
        <v>57</v>
      </c>
      <c r="AF40" t="s">
        <v>60</v>
      </c>
      <c r="AG40" t="s">
        <v>57</v>
      </c>
      <c r="AH40" t="s">
        <v>61</v>
      </c>
      <c r="AI40" t="s">
        <v>55</v>
      </c>
      <c r="AJ40" t="s">
        <v>55</v>
      </c>
      <c r="AK40" t="s">
        <v>55</v>
      </c>
      <c r="AL40" t="s">
        <v>57</v>
      </c>
      <c r="AM40" t="s">
        <v>55</v>
      </c>
      <c r="AN40" t="s">
        <v>81</v>
      </c>
      <c r="AO40" t="s">
        <v>55</v>
      </c>
      <c r="AP40" t="s">
        <v>55</v>
      </c>
      <c r="AQ40" t="s">
        <v>57</v>
      </c>
      <c r="AR40" t="s">
        <v>57</v>
      </c>
      <c r="AT40" t="str">
        <f t="shared" si="0"/>
        <v>raczej tak</v>
      </c>
      <c r="AU40" t="str">
        <f t="shared" si="1"/>
        <v>od 150 do 169 godzin</v>
      </c>
      <c r="AV40">
        <f t="shared" si="2"/>
        <v>169</v>
      </c>
      <c r="AW40">
        <f t="shared" si="3"/>
        <v>1</v>
      </c>
      <c r="BA40" s="13"/>
    </row>
    <row r="41" spans="1:69" x14ac:dyDescent="0.2">
      <c r="A41" t="s">
        <v>200</v>
      </c>
      <c r="B41" t="s">
        <v>45</v>
      </c>
      <c r="C41" t="s">
        <v>120</v>
      </c>
      <c r="D41" t="s">
        <v>47</v>
      </c>
      <c r="E41" t="s">
        <v>103</v>
      </c>
      <c r="F41" t="s">
        <v>49</v>
      </c>
      <c r="G41" t="s">
        <v>97</v>
      </c>
      <c r="H41" t="s">
        <v>90</v>
      </c>
      <c r="I41" t="s">
        <v>70</v>
      </c>
      <c r="J41" t="s">
        <v>98</v>
      </c>
      <c r="K41" t="s">
        <v>80</v>
      </c>
      <c r="L41" t="s">
        <v>58</v>
      </c>
      <c r="M41" t="s">
        <v>56</v>
      </c>
      <c r="N41" t="s">
        <v>57</v>
      </c>
      <c r="O41" t="s">
        <v>104</v>
      </c>
      <c r="P41" t="s">
        <v>55</v>
      </c>
      <c r="Q41" t="s">
        <v>58</v>
      </c>
      <c r="R41" t="s">
        <v>55</v>
      </c>
      <c r="S41" t="s">
        <v>55</v>
      </c>
      <c r="T41" t="s">
        <v>57</v>
      </c>
      <c r="U41" t="s">
        <v>55</v>
      </c>
      <c r="V41" t="s">
        <v>55</v>
      </c>
      <c r="W41" t="s">
        <v>55</v>
      </c>
      <c r="X41" t="s">
        <v>59</v>
      </c>
      <c r="Y41" t="s">
        <v>57</v>
      </c>
      <c r="Z41" t="s">
        <v>57</v>
      </c>
      <c r="AA41" t="s">
        <v>58</v>
      </c>
      <c r="AB41" t="s">
        <v>57</v>
      </c>
      <c r="AC41" t="s">
        <v>57</v>
      </c>
      <c r="AD41" t="s">
        <v>58</v>
      </c>
      <c r="AE41" t="s">
        <v>58</v>
      </c>
      <c r="AF41" t="s">
        <v>60</v>
      </c>
      <c r="AG41" t="s">
        <v>58</v>
      </c>
      <c r="AH41" t="s">
        <v>61</v>
      </c>
      <c r="AI41" t="s">
        <v>59</v>
      </c>
      <c r="AJ41" t="s">
        <v>58</v>
      </c>
      <c r="AK41" t="s">
        <v>59</v>
      </c>
      <c r="AL41" t="s">
        <v>57</v>
      </c>
      <c r="AM41" t="s">
        <v>57</v>
      </c>
      <c r="AN41" t="s">
        <v>81</v>
      </c>
      <c r="AO41" t="s">
        <v>57</v>
      </c>
      <c r="AP41" t="s">
        <v>59</v>
      </c>
      <c r="AQ41" t="s">
        <v>58</v>
      </c>
      <c r="AR41" t="s">
        <v>58</v>
      </c>
      <c r="AT41" t="str">
        <f t="shared" si="0"/>
        <v>raczej tak</v>
      </c>
      <c r="AU41" t="str">
        <f t="shared" si="1"/>
        <v>od 150 do 169 godzin</v>
      </c>
      <c r="AV41">
        <f t="shared" si="2"/>
        <v>169</v>
      </c>
      <c r="AW41">
        <f t="shared" si="3"/>
        <v>1</v>
      </c>
      <c r="BA41" s="13"/>
      <c r="BE41">
        <f>_xlfn.CHISQ.INV(0.5,2)</f>
        <v>1.3862943611198906</v>
      </c>
    </row>
    <row r="42" spans="1:69" x14ac:dyDescent="0.2">
      <c r="A42" t="s">
        <v>214</v>
      </c>
      <c r="B42" t="s">
        <v>45</v>
      </c>
      <c r="C42" t="s">
        <v>120</v>
      </c>
      <c r="D42" t="s">
        <v>47</v>
      </c>
      <c r="E42" t="s">
        <v>103</v>
      </c>
      <c r="F42" t="s">
        <v>49</v>
      </c>
      <c r="G42" t="s">
        <v>97</v>
      </c>
      <c r="H42" t="s">
        <v>90</v>
      </c>
      <c r="I42" t="s">
        <v>52</v>
      </c>
      <c r="J42" t="s">
        <v>98</v>
      </c>
      <c r="K42" t="s">
        <v>54</v>
      </c>
      <c r="L42" t="s">
        <v>57</v>
      </c>
      <c r="M42" t="s">
        <v>99</v>
      </c>
      <c r="N42" t="s">
        <v>85</v>
      </c>
      <c r="O42" t="s">
        <v>104</v>
      </c>
      <c r="P42" t="s">
        <v>55</v>
      </c>
      <c r="Q42" t="s">
        <v>55</v>
      </c>
      <c r="R42" t="s">
        <v>55</v>
      </c>
      <c r="S42" t="s">
        <v>55</v>
      </c>
      <c r="T42" t="s">
        <v>59</v>
      </c>
      <c r="U42" t="s">
        <v>57</v>
      </c>
      <c r="V42" t="s">
        <v>57</v>
      </c>
      <c r="W42" t="s">
        <v>57</v>
      </c>
      <c r="X42" t="s">
        <v>59</v>
      </c>
      <c r="Y42" t="s">
        <v>57</v>
      </c>
      <c r="Z42" t="s">
        <v>73</v>
      </c>
      <c r="AA42" t="s">
        <v>73</v>
      </c>
      <c r="AB42" t="s">
        <v>58</v>
      </c>
      <c r="AC42" t="s">
        <v>58</v>
      </c>
      <c r="AD42" t="s">
        <v>57</v>
      </c>
      <c r="AE42" t="s">
        <v>58</v>
      </c>
      <c r="AF42" t="s">
        <v>94</v>
      </c>
      <c r="AG42" t="s">
        <v>58</v>
      </c>
      <c r="AH42" t="s">
        <v>61</v>
      </c>
      <c r="AI42" t="s">
        <v>55</v>
      </c>
      <c r="AJ42" t="s">
        <v>57</v>
      </c>
      <c r="AK42" t="s">
        <v>55</v>
      </c>
      <c r="AL42" t="s">
        <v>57</v>
      </c>
      <c r="AM42" t="s">
        <v>55</v>
      </c>
      <c r="AN42" t="s">
        <v>81</v>
      </c>
      <c r="AO42" t="s">
        <v>58</v>
      </c>
      <c r="AP42" t="s">
        <v>55</v>
      </c>
      <c r="AQ42" t="s">
        <v>55</v>
      </c>
      <c r="AR42" t="s">
        <v>55</v>
      </c>
      <c r="AT42" t="str">
        <f t="shared" si="0"/>
        <v>raczej tak</v>
      </c>
      <c r="AU42" t="str">
        <f t="shared" si="1"/>
        <v>od 150 do 169 godzin</v>
      </c>
      <c r="AV42">
        <f t="shared" si="2"/>
        <v>169</v>
      </c>
      <c r="AW42">
        <f t="shared" si="3"/>
        <v>1</v>
      </c>
      <c r="BA42" s="13"/>
    </row>
    <row r="43" spans="1:69" x14ac:dyDescent="0.2">
      <c r="A43" t="s">
        <v>155</v>
      </c>
      <c r="B43" t="s">
        <v>45</v>
      </c>
      <c r="C43" t="s">
        <v>120</v>
      </c>
      <c r="D43" t="s">
        <v>47</v>
      </c>
      <c r="E43" t="s">
        <v>66</v>
      </c>
      <c r="F43" t="s">
        <v>92</v>
      </c>
      <c r="G43" t="s">
        <v>50</v>
      </c>
      <c r="H43" t="s">
        <v>56</v>
      </c>
      <c r="I43" t="s">
        <v>70</v>
      </c>
      <c r="J43" t="s">
        <v>53</v>
      </c>
      <c r="K43" t="s">
        <v>54</v>
      </c>
      <c r="L43" t="s">
        <v>57</v>
      </c>
      <c r="M43" t="s">
        <v>56</v>
      </c>
      <c r="N43" t="s">
        <v>85</v>
      </c>
      <c r="O43" t="s">
        <v>57</v>
      </c>
      <c r="P43" t="s">
        <v>59</v>
      </c>
      <c r="Q43" t="s">
        <v>55</v>
      </c>
      <c r="R43" t="s">
        <v>55</v>
      </c>
      <c r="S43" t="s">
        <v>59</v>
      </c>
      <c r="T43" t="s">
        <v>59</v>
      </c>
      <c r="U43" t="s">
        <v>55</v>
      </c>
      <c r="V43" t="s">
        <v>57</v>
      </c>
      <c r="W43" t="s">
        <v>58</v>
      </c>
      <c r="X43" t="s">
        <v>58</v>
      </c>
      <c r="Y43" t="s">
        <v>57</v>
      </c>
      <c r="Z43" t="s">
        <v>57</v>
      </c>
      <c r="AA43" t="s">
        <v>57</v>
      </c>
      <c r="AB43" t="s">
        <v>57</v>
      </c>
      <c r="AC43" t="s">
        <v>55</v>
      </c>
      <c r="AD43" t="s">
        <v>58</v>
      </c>
      <c r="AE43" t="s">
        <v>57</v>
      </c>
      <c r="AF43" t="s">
        <v>60</v>
      </c>
      <c r="AG43" t="s">
        <v>57</v>
      </c>
      <c r="AH43" t="s">
        <v>74</v>
      </c>
      <c r="AI43" t="s">
        <v>55</v>
      </c>
      <c r="AJ43" t="s">
        <v>57</v>
      </c>
      <c r="AK43" t="s">
        <v>59</v>
      </c>
      <c r="AL43" t="s">
        <v>58</v>
      </c>
      <c r="AM43" t="s">
        <v>55</v>
      </c>
      <c r="AN43" t="s">
        <v>62</v>
      </c>
      <c r="AO43" t="s">
        <v>59</v>
      </c>
      <c r="AP43" t="s">
        <v>55</v>
      </c>
      <c r="AQ43" t="s">
        <v>57</v>
      </c>
      <c r="AR43" t="s">
        <v>73</v>
      </c>
      <c r="AT43" t="str">
        <f t="shared" si="0"/>
        <v>zdecydowanie tak</v>
      </c>
      <c r="AU43" t="str">
        <f t="shared" si="1"/>
        <v>od 170 do 199 godzin</v>
      </c>
      <c r="AV43">
        <f t="shared" si="2"/>
        <v>199</v>
      </c>
      <c r="AW43">
        <f t="shared" si="3"/>
        <v>2</v>
      </c>
      <c r="BA43" s="13"/>
    </row>
    <row r="44" spans="1:69" x14ac:dyDescent="0.2">
      <c r="A44" t="s">
        <v>168</v>
      </c>
      <c r="B44" t="s">
        <v>45</v>
      </c>
      <c r="C44" t="s">
        <v>120</v>
      </c>
      <c r="D44" t="s">
        <v>121</v>
      </c>
      <c r="E44" t="s">
        <v>103</v>
      </c>
      <c r="F44" t="s">
        <v>92</v>
      </c>
      <c r="G44" t="s">
        <v>50</v>
      </c>
      <c r="H44" t="s">
        <v>51</v>
      </c>
      <c r="I44" t="s">
        <v>70</v>
      </c>
      <c r="J44" t="s">
        <v>53</v>
      </c>
      <c r="K44" t="s">
        <v>54</v>
      </c>
      <c r="L44" t="s">
        <v>57</v>
      </c>
      <c r="M44" t="s">
        <v>56</v>
      </c>
      <c r="N44" t="s">
        <v>85</v>
      </c>
      <c r="O44" t="s">
        <v>73</v>
      </c>
      <c r="P44" t="s">
        <v>55</v>
      </c>
      <c r="Q44" t="s">
        <v>57</v>
      </c>
      <c r="R44" t="s">
        <v>55</v>
      </c>
      <c r="S44" t="s">
        <v>57</v>
      </c>
      <c r="T44" t="s">
        <v>55</v>
      </c>
      <c r="U44" t="s">
        <v>55</v>
      </c>
      <c r="V44" t="s">
        <v>55</v>
      </c>
      <c r="W44" t="s">
        <v>58</v>
      </c>
      <c r="X44" t="s">
        <v>59</v>
      </c>
      <c r="Y44" t="s">
        <v>57</v>
      </c>
      <c r="Z44" t="s">
        <v>58</v>
      </c>
      <c r="AA44" t="s">
        <v>57</v>
      </c>
      <c r="AB44" t="s">
        <v>59</v>
      </c>
      <c r="AC44" t="s">
        <v>58</v>
      </c>
      <c r="AD44" t="s">
        <v>58</v>
      </c>
      <c r="AE44" t="s">
        <v>57</v>
      </c>
      <c r="AF44" t="s">
        <v>94</v>
      </c>
      <c r="AG44" t="s">
        <v>57</v>
      </c>
      <c r="AH44" t="s">
        <v>74</v>
      </c>
      <c r="AI44" t="s">
        <v>57</v>
      </c>
      <c r="AJ44" t="s">
        <v>58</v>
      </c>
      <c r="AK44" t="s">
        <v>57</v>
      </c>
      <c r="AL44" t="s">
        <v>57</v>
      </c>
      <c r="AM44" t="s">
        <v>73</v>
      </c>
      <c r="AN44" t="s">
        <v>81</v>
      </c>
      <c r="AO44" t="s">
        <v>58</v>
      </c>
      <c r="AP44" t="s">
        <v>73</v>
      </c>
      <c r="AQ44" t="s">
        <v>57</v>
      </c>
      <c r="AR44" t="s">
        <v>57</v>
      </c>
      <c r="AT44" t="str">
        <f t="shared" si="0"/>
        <v>raczej tak</v>
      </c>
      <c r="AU44" t="str">
        <f t="shared" si="1"/>
        <v>od 170 do 199 godzin</v>
      </c>
      <c r="AV44">
        <f t="shared" si="2"/>
        <v>199</v>
      </c>
      <c r="AW44">
        <f t="shared" si="3"/>
        <v>1</v>
      </c>
      <c r="BA44" s="13"/>
    </row>
    <row r="45" spans="1:69" x14ac:dyDescent="0.2">
      <c r="A45" t="s">
        <v>197</v>
      </c>
      <c r="B45" t="s">
        <v>45</v>
      </c>
      <c r="C45" t="s">
        <v>120</v>
      </c>
      <c r="D45" t="s">
        <v>47</v>
      </c>
      <c r="E45" t="s">
        <v>126</v>
      </c>
      <c r="F45" t="s">
        <v>49</v>
      </c>
      <c r="G45" t="s">
        <v>50</v>
      </c>
      <c r="H45" t="s">
        <v>78</v>
      </c>
      <c r="I45" t="s">
        <v>52</v>
      </c>
      <c r="J45" t="s">
        <v>53</v>
      </c>
      <c r="K45" t="s">
        <v>71</v>
      </c>
      <c r="L45" t="s">
        <v>57</v>
      </c>
      <c r="M45" t="s">
        <v>72</v>
      </c>
      <c r="N45" t="s">
        <v>59</v>
      </c>
      <c r="O45" t="s">
        <v>57</v>
      </c>
      <c r="P45" t="s">
        <v>59</v>
      </c>
      <c r="Q45" t="s">
        <v>58</v>
      </c>
      <c r="R45" t="s">
        <v>57</v>
      </c>
      <c r="S45" t="s">
        <v>73</v>
      </c>
      <c r="T45" t="s">
        <v>73</v>
      </c>
      <c r="U45" t="s">
        <v>57</v>
      </c>
      <c r="V45" t="s">
        <v>57</v>
      </c>
      <c r="W45" t="s">
        <v>58</v>
      </c>
      <c r="X45" t="s">
        <v>55</v>
      </c>
      <c r="Y45" t="s">
        <v>59</v>
      </c>
      <c r="Z45" t="s">
        <v>58</v>
      </c>
      <c r="AA45" t="s">
        <v>58</v>
      </c>
      <c r="AB45" t="s">
        <v>59</v>
      </c>
      <c r="AC45" t="s">
        <v>73</v>
      </c>
      <c r="AD45" t="s">
        <v>73</v>
      </c>
      <c r="AE45" t="s">
        <v>57</v>
      </c>
      <c r="AF45" t="s">
        <v>60</v>
      </c>
      <c r="AG45" t="s">
        <v>57</v>
      </c>
      <c r="AH45" t="s">
        <v>61</v>
      </c>
      <c r="AI45" t="s">
        <v>73</v>
      </c>
      <c r="AJ45" t="s">
        <v>55</v>
      </c>
      <c r="AK45" t="s">
        <v>55</v>
      </c>
      <c r="AL45" t="s">
        <v>55</v>
      </c>
      <c r="AM45" t="s">
        <v>58</v>
      </c>
      <c r="AN45" t="s">
        <v>81</v>
      </c>
      <c r="AO45" t="s">
        <v>73</v>
      </c>
      <c r="AP45" t="s">
        <v>55</v>
      </c>
      <c r="AQ45" t="s">
        <v>57</v>
      </c>
      <c r="AR45" t="s">
        <v>58</v>
      </c>
      <c r="AT45" t="str">
        <f t="shared" si="0"/>
        <v>raczej nie</v>
      </c>
      <c r="AU45" t="str">
        <f t="shared" si="1"/>
        <v>od 170 do 199 godzin</v>
      </c>
      <c r="AV45">
        <f t="shared" si="2"/>
        <v>199</v>
      </c>
      <c r="AW45">
        <f t="shared" si="3"/>
        <v>-1</v>
      </c>
      <c r="BA45" s="13"/>
    </row>
    <row r="46" spans="1:69" x14ac:dyDescent="0.2">
      <c r="A46" t="s">
        <v>137</v>
      </c>
      <c r="B46" t="s">
        <v>64</v>
      </c>
      <c r="C46" t="s">
        <v>120</v>
      </c>
      <c r="D46" t="s">
        <v>121</v>
      </c>
      <c r="E46" t="s">
        <v>113</v>
      </c>
      <c r="F46" t="s">
        <v>49</v>
      </c>
      <c r="G46" t="s">
        <v>68</v>
      </c>
      <c r="H46" t="s">
        <v>51</v>
      </c>
      <c r="I46" t="s">
        <v>70</v>
      </c>
      <c r="J46" t="s">
        <v>84</v>
      </c>
      <c r="K46" t="s">
        <v>71</v>
      </c>
      <c r="L46" t="s">
        <v>57</v>
      </c>
      <c r="M46" t="s">
        <v>56</v>
      </c>
      <c r="N46" t="s">
        <v>57</v>
      </c>
      <c r="O46" t="s">
        <v>85</v>
      </c>
      <c r="P46" t="s">
        <v>55</v>
      </c>
      <c r="Q46" t="s">
        <v>57</v>
      </c>
      <c r="R46" t="s">
        <v>57</v>
      </c>
      <c r="S46" t="s">
        <v>57</v>
      </c>
      <c r="T46" t="s">
        <v>59</v>
      </c>
      <c r="U46" t="s">
        <v>55</v>
      </c>
      <c r="V46" t="s">
        <v>58</v>
      </c>
      <c r="W46" t="s">
        <v>57</v>
      </c>
      <c r="X46" t="s">
        <v>59</v>
      </c>
      <c r="Y46" t="s">
        <v>57</v>
      </c>
      <c r="Z46" t="s">
        <v>58</v>
      </c>
      <c r="AA46" t="s">
        <v>58</v>
      </c>
      <c r="AB46" t="s">
        <v>58</v>
      </c>
      <c r="AC46" t="s">
        <v>58</v>
      </c>
      <c r="AD46" t="s">
        <v>57</v>
      </c>
      <c r="AE46" t="s">
        <v>57</v>
      </c>
      <c r="AF46" t="s">
        <v>60</v>
      </c>
      <c r="AG46" t="s">
        <v>57</v>
      </c>
      <c r="AH46" t="s">
        <v>86</v>
      </c>
      <c r="AI46" t="s">
        <v>55</v>
      </c>
      <c r="AJ46" t="s">
        <v>57</v>
      </c>
      <c r="AK46" t="s">
        <v>55</v>
      </c>
      <c r="AL46" t="s">
        <v>57</v>
      </c>
      <c r="AM46" t="s">
        <v>57</v>
      </c>
      <c r="AN46" t="s">
        <v>62</v>
      </c>
      <c r="AO46" t="s">
        <v>57</v>
      </c>
      <c r="AP46" t="s">
        <v>57</v>
      </c>
      <c r="AQ46" t="s">
        <v>58</v>
      </c>
      <c r="AR46" t="s">
        <v>57</v>
      </c>
      <c r="AT46" t="str">
        <f t="shared" si="0"/>
        <v>raczej tak</v>
      </c>
      <c r="AU46" t="str">
        <f t="shared" si="1"/>
        <v>od 200 do 239 godzin</v>
      </c>
      <c r="AV46">
        <f t="shared" si="2"/>
        <v>239</v>
      </c>
      <c r="AW46">
        <f t="shared" si="3"/>
        <v>1</v>
      </c>
      <c r="BA46" s="13"/>
    </row>
    <row r="47" spans="1:69" x14ac:dyDescent="0.2">
      <c r="A47" t="s">
        <v>160</v>
      </c>
      <c r="B47" t="s">
        <v>64</v>
      </c>
      <c r="C47" t="s">
        <v>120</v>
      </c>
      <c r="D47" t="s">
        <v>123</v>
      </c>
      <c r="E47" t="s">
        <v>83</v>
      </c>
      <c r="F47" t="s">
        <v>49</v>
      </c>
      <c r="G47" t="s">
        <v>50</v>
      </c>
      <c r="H47" t="s">
        <v>51</v>
      </c>
      <c r="I47" t="s">
        <v>70</v>
      </c>
      <c r="J47" t="s">
        <v>84</v>
      </c>
      <c r="K47" t="s">
        <v>54</v>
      </c>
      <c r="L47" t="s">
        <v>57</v>
      </c>
      <c r="M47" t="s">
        <v>78</v>
      </c>
      <c r="N47" t="s">
        <v>57</v>
      </c>
      <c r="O47" t="s">
        <v>73</v>
      </c>
      <c r="P47" t="s">
        <v>73</v>
      </c>
      <c r="Q47" t="s">
        <v>57</v>
      </c>
      <c r="R47" t="s">
        <v>55</v>
      </c>
      <c r="S47" t="s">
        <v>73</v>
      </c>
      <c r="T47" t="s">
        <v>55</v>
      </c>
      <c r="U47" t="s">
        <v>55</v>
      </c>
      <c r="V47" t="s">
        <v>57</v>
      </c>
      <c r="W47" t="s">
        <v>55</v>
      </c>
      <c r="X47" t="s">
        <v>57</v>
      </c>
      <c r="Y47" t="s">
        <v>57</v>
      </c>
      <c r="Z47" t="s">
        <v>57</v>
      </c>
      <c r="AA47" t="s">
        <v>55</v>
      </c>
      <c r="AB47" t="s">
        <v>55</v>
      </c>
      <c r="AC47" t="s">
        <v>55</v>
      </c>
      <c r="AD47" t="s">
        <v>58</v>
      </c>
      <c r="AE47" t="s">
        <v>57</v>
      </c>
      <c r="AF47" t="s">
        <v>60</v>
      </c>
      <c r="AG47" t="s">
        <v>57</v>
      </c>
      <c r="AH47" t="s">
        <v>61</v>
      </c>
      <c r="AI47" t="s">
        <v>55</v>
      </c>
      <c r="AJ47" t="s">
        <v>55</v>
      </c>
      <c r="AK47" t="s">
        <v>55</v>
      </c>
      <c r="AL47" t="s">
        <v>57</v>
      </c>
      <c r="AM47" t="s">
        <v>57</v>
      </c>
      <c r="AN47" t="s">
        <v>81</v>
      </c>
      <c r="AO47" t="s">
        <v>73</v>
      </c>
      <c r="AP47" t="s">
        <v>55</v>
      </c>
      <c r="AQ47" t="s">
        <v>57</v>
      </c>
      <c r="AR47" t="s">
        <v>57</v>
      </c>
      <c r="AT47" t="str">
        <f t="shared" si="0"/>
        <v>raczej tak</v>
      </c>
      <c r="AU47" t="str">
        <f t="shared" si="1"/>
        <v>od 200 do 239 godzin</v>
      </c>
      <c r="AV47">
        <f t="shared" si="2"/>
        <v>239</v>
      </c>
      <c r="AW47">
        <f t="shared" si="3"/>
        <v>1</v>
      </c>
      <c r="BA47" s="13"/>
    </row>
    <row r="48" spans="1:69" x14ac:dyDescent="0.2">
      <c r="A48" t="s">
        <v>164</v>
      </c>
      <c r="B48" t="s">
        <v>64</v>
      </c>
      <c r="C48" t="s">
        <v>120</v>
      </c>
      <c r="D48" t="s">
        <v>47</v>
      </c>
      <c r="E48" t="s">
        <v>126</v>
      </c>
      <c r="F48" t="s">
        <v>49</v>
      </c>
      <c r="G48" t="s">
        <v>50</v>
      </c>
      <c r="H48" t="s">
        <v>51</v>
      </c>
      <c r="I48" t="s">
        <v>114</v>
      </c>
      <c r="J48" t="s">
        <v>84</v>
      </c>
      <c r="K48" t="s">
        <v>54</v>
      </c>
      <c r="L48" t="s">
        <v>57</v>
      </c>
      <c r="M48" t="s">
        <v>51</v>
      </c>
      <c r="N48" t="s">
        <v>85</v>
      </c>
      <c r="O48" t="s">
        <v>85</v>
      </c>
      <c r="P48" t="s">
        <v>59</v>
      </c>
      <c r="Q48" t="s">
        <v>55</v>
      </c>
      <c r="R48" t="s">
        <v>59</v>
      </c>
      <c r="S48" t="s">
        <v>57</v>
      </c>
      <c r="T48" t="s">
        <v>59</v>
      </c>
      <c r="U48" t="s">
        <v>59</v>
      </c>
      <c r="V48" t="s">
        <v>55</v>
      </c>
      <c r="W48" t="s">
        <v>58</v>
      </c>
      <c r="X48" t="s">
        <v>58</v>
      </c>
      <c r="Y48" t="s">
        <v>58</v>
      </c>
      <c r="Z48" t="s">
        <v>57</v>
      </c>
      <c r="AA48" t="s">
        <v>73</v>
      </c>
      <c r="AB48" t="s">
        <v>58</v>
      </c>
      <c r="AC48" t="s">
        <v>59</v>
      </c>
      <c r="AD48" t="s">
        <v>58</v>
      </c>
      <c r="AE48" t="s">
        <v>58</v>
      </c>
      <c r="AF48" t="s">
        <v>94</v>
      </c>
      <c r="AG48" t="s">
        <v>57</v>
      </c>
      <c r="AH48" t="s">
        <v>61</v>
      </c>
      <c r="AI48" t="s">
        <v>59</v>
      </c>
      <c r="AJ48" t="s">
        <v>58</v>
      </c>
      <c r="AK48" t="s">
        <v>59</v>
      </c>
      <c r="AL48" t="s">
        <v>57</v>
      </c>
      <c r="AM48" t="s">
        <v>73</v>
      </c>
      <c r="AN48" t="s">
        <v>81</v>
      </c>
      <c r="AO48" t="s">
        <v>73</v>
      </c>
      <c r="AP48" t="s">
        <v>73</v>
      </c>
      <c r="AQ48" t="s">
        <v>57</v>
      </c>
      <c r="AR48" t="s">
        <v>58</v>
      </c>
      <c r="AT48" t="str">
        <f t="shared" si="0"/>
        <v>raczej tak</v>
      </c>
      <c r="AU48" t="str">
        <f t="shared" si="1"/>
        <v>od 200 do 239 godzin</v>
      </c>
      <c r="AV48">
        <f t="shared" si="2"/>
        <v>239</v>
      </c>
      <c r="AW48">
        <f t="shared" si="3"/>
        <v>1</v>
      </c>
      <c r="BA48" s="13"/>
    </row>
    <row r="49" spans="1:53" x14ac:dyDescent="0.2">
      <c r="A49" t="s">
        <v>198</v>
      </c>
      <c r="B49" t="s">
        <v>45</v>
      </c>
      <c r="C49" t="s">
        <v>120</v>
      </c>
      <c r="D49" t="s">
        <v>47</v>
      </c>
      <c r="E49" t="s">
        <v>103</v>
      </c>
      <c r="F49" t="s">
        <v>49</v>
      </c>
      <c r="G49" t="s">
        <v>50</v>
      </c>
      <c r="H49" t="s">
        <v>90</v>
      </c>
      <c r="I49" t="s">
        <v>114</v>
      </c>
      <c r="J49" t="s">
        <v>84</v>
      </c>
      <c r="K49" t="s">
        <v>54</v>
      </c>
      <c r="L49" t="s">
        <v>58</v>
      </c>
      <c r="M49" t="s">
        <v>51</v>
      </c>
      <c r="N49" t="s">
        <v>58</v>
      </c>
      <c r="O49" t="s">
        <v>73</v>
      </c>
      <c r="P49" t="s">
        <v>59</v>
      </c>
      <c r="Q49" t="s">
        <v>55</v>
      </c>
      <c r="R49" t="s">
        <v>59</v>
      </c>
      <c r="S49" t="s">
        <v>58</v>
      </c>
      <c r="T49" t="s">
        <v>59</v>
      </c>
      <c r="U49" t="s">
        <v>58</v>
      </c>
      <c r="V49" t="s">
        <v>57</v>
      </c>
      <c r="W49" t="s">
        <v>58</v>
      </c>
      <c r="X49" t="s">
        <v>59</v>
      </c>
      <c r="Y49" t="s">
        <v>55</v>
      </c>
      <c r="Z49" t="s">
        <v>58</v>
      </c>
      <c r="AA49" t="s">
        <v>73</v>
      </c>
      <c r="AB49" t="s">
        <v>58</v>
      </c>
      <c r="AC49" t="s">
        <v>59</v>
      </c>
      <c r="AD49" t="s">
        <v>58</v>
      </c>
      <c r="AE49" t="s">
        <v>57</v>
      </c>
      <c r="AF49" t="s">
        <v>60</v>
      </c>
      <c r="AG49" t="s">
        <v>57</v>
      </c>
      <c r="AH49" t="s">
        <v>61</v>
      </c>
      <c r="AI49" t="s">
        <v>55</v>
      </c>
      <c r="AJ49" t="s">
        <v>58</v>
      </c>
      <c r="AK49" t="s">
        <v>59</v>
      </c>
      <c r="AL49" t="s">
        <v>57</v>
      </c>
      <c r="AM49" t="s">
        <v>58</v>
      </c>
      <c r="AN49" t="s">
        <v>62</v>
      </c>
      <c r="AO49" t="s">
        <v>55</v>
      </c>
      <c r="AP49" t="s">
        <v>59</v>
      </c>
      <c r="AQ49" t="s">
        <v>58</v>
      </c>
      <c r="AR49" t="s">
        <v>58</v>
      </c>
      <c r="AT49" t="str">
        <f t="shared" si="0"/>
        <v>raczej tak</v>
      </c>
      <c r="AU49" t="str">
        <f t="shared" si="1"/>
        <v>od 200 do 239 godzin</v>
      </c>
      <c r="AV49">
        <f t="shared" si="2"/>
        <v>239</v>
      </c>
      <c r="AW49">
        <f t="shared" si="3"/>
        <v>1</v>
      </c>
      <c r="BA49" s="13"/>
    </row>
    <row r="50" spans="1:53" x14ac:dyDescent="0.2">
      <c r="A50" t="s">
        <v>154</v>
      </c>
      <c r="B50" t="s">
        <v>45</v>
      </c>
      <c r="C50" t="s">
        <v>120</v>
      </c>
      <c r="D50" t="s">
        <v>47</v>
      </c>
      <c r="E50" t="s">
        <v>126</v>
      </c>
      <c r="F50" t="s">
        <v>77</v>
      </c>
      <c r="G50" t="s">
        <v>97</v>
      </c>
      <c r="H50" t="s">
        <v>69</v>
      </c>
      <c r="I50" t="s">
        <v>70</v>
      </c>
      <c r="J50" t="s">
        <v>106</v>
      </c>
      <c r="K50" t="s">
        <v>80</v>
      </c>
      <c r="L50" t="s">
        <v>59</v>
      </c>
      <c r="M50" t="s">
        <v>72</v>
      </c>
      <c r="N50" t="s">
        <v>85</v>
      </c>
      <c r="O50" t="s">
        <v>57</v>
      </c>
      <c r="P50" t="s">
        <v>59</v>
      </c>
      <c r="Q50" t="s">
        <v>59</v>
      </c>
      <c r="R50" t="s">
        <v>59</v>
      </c>
      <c r="S50" t="s">
        <v>73</v>
      </c>
      <c r="T50" t="s">
        <v>59</v>
      </c>
      <c r="U50" t="s">
        <v>58</v>
      </c>
      <c r="V50" t="s">
        <v>58</v>
      </c>
      <c r="W50" t="s">
        <v>73</v>
      </c>
      <c r="X50" t="s">
        <v>59</v>
      </c>
      <c r="Y50" t="s">
        <v>73</v>
      </c>
      <c r="Z50" t="s">
        <v>59</v>
      </c>
      <c r="AA50" t="s">
        <v>59</v>
      </c>
      <c r="AB50" t="s">
        <v>58</v>
      </c>
      <c r="AC50" t="s">
        <v>59</v>
      </c>
      <c r="AD50" t="s">
        <v>58</v>
      </c>
      <c r="AE50" t="s">
        <v>57</v>
      </c>
      <c r="AF50" t="s">
        <v>60</v>
      </c>
      <c r="AG50" t="s">
        <v>57</v>
      </c>
      <c r="AH50" t="s">
        <v>61</v>
      </c>
      <c r="AI50" t="s">
        <v>59</v>
      </c>
      <c r="AJ50" t="s">
        <v>73</v>
      </c>
      <c r="AK50" t="s">
        <v>73</v>
      </c>
      <c r="AL50" t="s">
        <v>73</v>
      </c>
      <c r="AM50" t="s">
        <v>73</v>
      </c>
      <c r="AN50" t="s">
        <v>81</v>
      </c>
      <c r="AO50" t="s">
        <v>59</v>
      </c>
      <c r="AP50" t="s">
        <v>59</v>
      </c>
      <c r="AQ50" t="s">
        <v>58</v>
      </c>
      <c r="AR50" t="s">
        <v>59</v>
      </c>
      <c r="AT50" t="str">
        <f t="shared" si="0"/>
        <v>nie mam zdania</v>
      </c>
      <c r="AU50" t="str">
        <f t="shared" si="1"/>
        <v>od 240 do 259 godzin</v>
      </c>
      <c r="AV50">
        <f t="shared" si="2"/>
        <v>259</v>
      </c>
      <c r="AW50">
        <f t="shared" si="3"/>
        <v>0</v>
      </c>
      <c r="BA50" s="13"/>
    </row>
    <row r="51" spans="1:53" x14ac:dyDescent="0.2">
      <c r="A51" t="s">
        <v>208</v>
      </c>
      <c r="B51" t="s">
        <v>64</v>
      </c>
      <c r="C51" t="s">
        <v>120</v>
      </c>
      <c r="D51" t="s">
        <v>47</v>
      </c>
      <c r="E51" t="s">
        <v>111</v>
      </c>
      <c r="F51" t="s">
        <v>49</v>
      </c>
      <c r="G51" t="s">
        <v>50</v>
      </c>
      <c r="H51" t="s">
        <v>56</v>
      </c>
      <c r="I51" t="s">
        <v>52</v>
      </c>
      <c r="J51" t="s">
        <v>106</v>
      </c>
      <c r="K51" t="s">
        <v>71</v>
      </c>
      <c r="L51" t="s">
        <v>57</v>
      </c>
      <c r="M51" t="s">
        <v>56</v>
      </c>
      <c r="N51" t="s">
        <v>85</v>
      </c>
      <c r="O51" t="s">
        <v>57</v>
      </c>
      <c r="P51" t="s">
        <v>73</v>
      </c>
      <c r="Q51" t="s">
        <v>58</v>
      </c>
      <c r="R51" t="s">
        <v>73</v>
      </c>
      <c r="S51" t="s">
        <v>58</v>
      </c>
      <c r="T51" t="s">
        <v>59</v>
      </c>
      <c r="U51" t="s">
        <v>57</v>
      </c>
      <c r="V51" t="s">
        <v>58</v>
      </c>
      <c r="W51" t="s">
        <v>57</v>
      </c>
      <c r="X51" t="s">
        <v>58</v>
      </c>
      <c r="Y51" t="s">
        <v>59</v>
      </c>
      <c r="Z51" t="s">
        <v>58</v>
      </c>
      <c r="AA51" t="s">
        <v>73</v>
      </c>
      <c r="AB51" t="s">
        <v>59</v>
      </c>
      <c r="AC51" t="s">
        <v>58</v>
      </c>
      <c r="AD51" t="s">
        <v>58</v>
      </c>
      <c r="AE51" t="s">
        <v>57</v>
      </c>
      <c r="AF51" t="s">
        <v>60</v>
      </c>
      <c r="AG51" t="s">
        <v>57</v>
      </c>
      <c r="AH51" t="s">
        <v>86</v>
      </c>
      <c r="AI51" t="s">
        <v>57</v>
      </c>
      <c r="AJ51" t="s">
        <v>73</v>
      </c>
      <c r="AK51" t="s">
        <v>59</v>
      </c>
      <c r="AL51" t="s">
        <v>57</v>
      </c>
      <c r="AM51" t="s">
        <v>57</v>
      </c>
      <c r="AN51" t="s">
        <v>81</v>
      </c>
      <c r="AO51" t="s">
        <v>57</v>
      </c>
      <c r="AP51" t="s">
        <v>59</v>
      </c>
      <c r="AQ51" t="s">
        <v>57</v>
      </c>
      <c r="AR51" t="s">
        <v>57</v>
      </c>
      <c r="AT51" t="str">
        <f t="shared" si="0"/>
        <v>raczej tak</v>
      </c>
      <c r="AU51" t="str">
        <f t="shared" si="1"/>
        <v>od 240 do 259 godzin</v>
      </c>
      <c r="AV51">
        <f t="shared" si="2"/>
        <v>259</v>
      </c>
      <c r="AW51">
        <f t="shared" si="3"/>
        <v>1</v>
      </c>
      <c r="BA51" s="13"/>
    </row>
    <row r="52" spans="1:53" x14ac:dyDescent="0.2">
      <c r="A52" t="s">
        <v>87</v>
      </c>
      <c r="B52" t="s">
        <v>45</v>
      </c>
      <c r="C52" t="s">
        <v>46</v>
      </c>
      <c r="D52" t="s">
        <v>88</v>
      </c>
      <c r="E52" t="s">
        <v>66</v>
      </c>
      <c r="F52" t="s">
        <v>49</v>
      </c>
      <c r="G52" t="s">
        <v>89</v>
      </c>
      <c r="H52" t="s">
        <v>90</v>
      </c>
      <c r="I52" t="s">
        <v>70</v>
      </c>
      <c r="J52" t="s">
        <v>79</v>
      </c>
      <c r="K52" t="s">
        <v>80</v>
      </c>
      <c r="L52" t="s">
        <v>57</v>
      </c>
      <c r="M52" t="s">
        <v>78</v>
      </c>
      <c r="N52" t="s">
        <v>59</v>
      </c>
      <c r="O52" t="s">
        <v>57</v>
      </c>
      <c r="P52" t="s">
        <v>55</v>
      </c>
      <c r="Q52" t="s">
        <v>58</v>
      </c>
      <c r="R52" t="s">
        <v>58</v>
      </c>
      <c r="S52" t="s">
        <v>55</v>
      </c>
      <c r="T52" t="s">
        <v>55</v>
      </c>
      <c r="U52" t="s">
        <v>58</v>
      </c>
      <c r="V52" t="s">
        <v>58</v>
      </c>
      <c r="W52" t="s">
        <v>57</v>
      </c>
      <c r="X52" t="s">
        <v>59</v>
      </c>
      <c r="Y52" t="s">
        <v>59</v>
      </c>
      <c r="Z52" t="s">
        <v>55</v>
      </c>
      <c r="AA52" t="s">
        <v>55</v>
      </c>
      <c r="AB52" t="s">
        <v>58</v>
      </c>
      <c r="AC52" t="s">
        <v>58</v>
      </c>
      <c r="AD52" t="s">
        <v>58</v>
      </c>
      <c r="AE52" t="s">
        <v>57</v>
      </c>
      <c r="AF52" t="s">
        <v>60</v>
      </c>
      <c r="AG52" t="s">
        <v>57</v>
      </c>
      <c r="AH52" t="s">
        <v>86</v>
      </c>
      <c r="AI52" t="s">
        <v>57</v>
      </c>
      <c r="AJ52" t="s">
        <v>58</v>
      </c>
      <c r="AK52" t="s">
        <v>57</v>
      </c>
      <c r="AL52" t="s">
        <v>57</v>
      </c>
      <c r="AM52" t="s">
        <v>55</v>
      </c>
      <c r="AN52" t="s">
        <v>81</v>
      </c>
      <c r="AO52" t="s">
        <v>58</v>
      </c>
      <c r="AP52" t="s">
        <v>57</v>
      </c>
      <c r="AQ52" t="s">
        <v>55</v>
      </c>
      <c r="AR52" t="s">
        <v>59</v>
      </c>
      <c r="AT52" t="str">
        <f t="shared" si="0"/>
        <v>raczej tak</v>
      </c>
      <c r="AU52" t="str">
        <f t="shared" si="1"/>
        <v>do 149 godzin</v>
      </c>
      <c r="AV52">
        <f t="shared" si="2"/>
        <v>149</v>
      </c>
      <c r="AW52">
        <f t="shared" si="3"/>
        <v>1</v>
      </c>
      <c r="BA52" s="13"/>
    </row>
    <row r="53" spans="1:53" x14ac:dyDescent="0.2">
      <c r="A53" t="s">
        <v>122</v>
      </c>
      <c r="B53" t="s">
        <v>45</v>
      </c>
      <c r="C53" t="s">
        <v>46</v>
      </c>
      <c r="D53" t="s">
        <v>123</v>
      </c>
      <c r="E53" t="s">
        <v>113</v>
      </c>
      <c r="F53" t="s">
        <v>49</v>
      </c>
      <c r="G53" t="s">
        <v>89</v>
      </c>
      <c r="H53" t="s">
        <v>90</v>
      </c>
      <c r="I53" t="s">
        <v>52</v>
      </c>
      <c r="J53" t="s">
        <v>79</v>
      </c>
      <c r="K53" t="s">
        <v>54</v>
      </c>
      <c r="L53" t="s">
        <v>59</v>
      </c>
      <c r="M53" t="s">
        <v>51</v>
      </c>
      <c r="N53" t="s">
        <v>85</v>
      </c>
      <c r="O53" t="s">
        <v>85</v>
      </c>
      <c r="P53" t="s">
        <v>59</v>
      </c>
      <c r="Q53" t="s">
        <v>59</v>
      </c>
      <c r="R53" t="s">
        <v>57</v>
      </c>
      <c r="S53" t="s">
        <v>57</v>
      </c>
      <c r="T53" t="s">
        <v>59</v>
      </c>
      <c r="U53" t="s">
        <v>57</v>
      </c>
      <c r="V53" t="s">
        <v>57</v>
      </c>
      <c r="W53" t="s">
        <v>58</v>
      </c>
      <c r="X53" t="s">
        <v>59</v>
      </c>
      <c r="Y53" t="s">
        <v>59</v>
      </c>
      <c r="Z53" t="s">
        <v>55</v>
      </c>
      <c r="AA53" t="s">
        <v>59</v>
      </c>
      <c r="AB53" t="s">
        <v>58</v>
      </c>
      <c r="AC53" t="s">
        <v>58</v>
      </c>
      <c r="AD53" t="s">
        <v>58</v>
      </c>
      <c r="AE53" t="s">
        <v>55</v>
      </c>
      <c r="AF53" t="s">
        <v>94</v>
      </c>
      <c r="AG53" t="s">
        <v>57</v>
      </c>
      <c r="AH53" t="s">
        <v>61</v>
      </c>
      <c r="AI53" t="s">
        <v>59</v>
      </c>
      <c r="AJ53" t="s">
        <v>58</v>
      </c>
      <c r="AK53" t="s">
        <v>57</v>
      </c>
      <c r="AL53" t="s">
        <v>57</v>
      </c>
      <c r="AM53" t="s">
        <v>59</v>
      </c>
      <c r="AN53" t="s">
        <v>62</v>
      </c>
      <c r="AO53" t="s">
        <v>59</v>
      </c>
      <c r="AP53" t="s">
        <v>57</v>
      </c>
      <c r="AQ53" t="s">
        <v>59</v>
      </c>
      <c r="AR53" t="s">
        <v>59</v>
      </c>
      <c r="AT53" t="str">
        <f t="shared" si="0"/>
        <v>raczej tak</v>
      </c>
      <c r="AU53" t="str">
        <f t="shared" si="1"/>
        <v>do 149 godzin</v>
      </c>
      <c r="AV53">
        <f t="shared" si="2"/>
        <v>149</v>
      </c>
      <c r="AW53">
        <f t="shared" si="3"/>
        <v>1</v>
      </c>
      <c r="BA53" s="13"/>
    </row>
    <row r="54" spans="1:53" x14ac:dyDescent="0.2">
      <c r="A54" t="s">
        <v>178</v>
      </c>
      <c r="B54" t="s">
        <v>45</v>
      </c>
      <c r="C54" t="s">
        <v>46</v>
      </c>
      <c r="D54" t="s">
        <v>88</v>
      </c>
      <c r="E54" t="s">
        <v>179</v>
      </c>
      <c r="F54" t="s">
        <v>49</v>
      </c>
      <c r="G54" t="s">
        <v>50</v>
      </c>
      <c r="H54" t="s">
        <v>90</v>
      </c>
      <c r="I54" t="s">
        <v>70</v>
      </c>
      <c r="J54" t="s">
        <v>79</v>
      </c>
      <c r="K54" t="s">
        <v>54</v>
      </c>
      <c r="L54" t="s">
        <v>57</v>
      </c>
      <c r="M54" t="s">
        <v>51</v>
      </c>
      <c r="N54" t="s">
        <v>73</v>
      </c>
      <c r="O54" t="s">
        <v>85</v>
      </c>
      <c r="P54" t="s">
        <v>73</v>
      </c>
      <c r="Q54" t="s">
        <v>55</v>
      </c>
      <c r="R54" t="s">
        <v>55</v>
      </c>
      <c r="S54" t="s">
        <v>73</v>
      </c>
      <c r="T54" t="s">
        <v>59</v>
      </c>
      <c r="U54" t="s">
        <v>55</v>
      </c>
      <c r="V54" t="s">
        <v>57</v>
      </c>
      <c r="W54" t="s">
        <v>57</v>
      </c>
      <c r="X54" t="s">
        <v>59</v>
      </c>
      <c r="Y54" t="s">
        <v>55</v>
      </c>
      <c r="Z54" t="s">
        <v>58</v>
      </c>
      <c r="AA54" t="s">
        <v>73</v>
      </c>
      <c r="AB54" t="s">
        <v>73</v>
      </c>
      <c r="AC54" t="s">
        <v>59</v>
      </c>
      <c r="AD54" t="s">
        <v>58</v>
      </c>
      <c r="AE54" t="s">
        <v>58</v>
      </c>
      <c r="AF54" t="s">
        <v>60</v>
      </c>
      <c r="AG54" t="s">
        <v>58</v>
      </c>
      <c r="AH54" t="s">
        <v>61</v>
      </c>
      <c r="AI54" t="s">
        <v>59</v>
      </c>
      <c r="AJ54" t="s">
        <v>55</v>
      </c>
      <c r="AK54" t="s">
        <v>59</v>
      </c>
      <c r="AL54" t="s">
        <v>57</v>
      </c>
      <c r="AM54" t="s">
        <v>58</v>
      </c>
      <c r="AN54" t="s">
        <v>62</v>
      </c>
      <c r="AO54" t="s">
        <v>55</v>
      </c>
      <c r="AP54" t="s">
        <v>73</v>
      </c>
      <c r="AQ54" t="s">
        <v>57</v>
      </c>
      <c r="AR54" t="s">
        <v>73</v>
      </c>
      <c r="AT54" t="str">
        <f t="shared" si="0"/>
        <v>raczej tak</v>
      </c>
      <c r="AU54" t="str">
        <f t="shared" si="1"/>
        <v>do 149 godzin</v>
      </c>
      <c r="AV54">
        <f t="shared" si="2"/>
        <v>149</v>
      </c>
      <c r="AW54">
        <f t="shared" si="3"/>
        <v>1</v>
      </c>
      <c r="BA54" s="13"/>
    </row>
    <row r="55" spans="1:53" x14ac:dyDescent="0.2">
      <c r="A55" t="s">
        <v>95</v>
      </c>
      <c r="B55" t="s">
        <v>45</v>
      </c>
      <c r="C55" t="s">
        <v>46</v>
      </c>
      <c r="D55" t="s">
        <v>47</v>
      </c>
      <c r="E55" t="s">
        <v>96</v>
      </c>
      <c r="F55" t="s">
        <v>49</v>
      </c>
      <c r="G55" t="s">
        <v>97</v>
      </c>
      <c r="H55" t="s">
        <v>90</v>
      </c>
      <c r="I55" t="s">
        <v>70</v>
      </c>
      <c r="J55" t="s">
        <v>98</v>
      </c>
      <c r="K55" t="s">
        <v>54</v>
      </c>
      <c r="L55" t="s">
        <v>57</v>
      </c>
      <c r="M55" t="s">
        <v>99</v>
      </c>
      <c r="N55" t="s">
        <v>57</v>
      </c>
      <c r="O55" t="s">
        <v>85</v>
      </c>
      <c r="P55" t="s">
        <v>55</v>
      </c>
      <c r="Q55" t="s">
        <v>55</v>
      </c>
      <c r="R55" t="s">
        <v>55</v>
      </c>
      <c r="S55" t="s">
        <v>57</v>
      </c>
      <c r="T55" t="s">
        <v>73</v>
      </c>
      <c r="U55" t="s">
        <v>55</v>
      </c>
      <c r="V55" t="s">
        <v>73</v>
      </c>
      <c r="W55" t="s">
        <v>59</v>
      </c>
      <c r="X55" t="s">
        <v>59</v>
      </c>
      <c r="Y55" t="s">
        <v>57</v>
      </c>
      <c r="Z55" t="s">
        <v>57</v>
      </c>
      <c r="AA55" t="s">
        <v>73</v>
      </c>
      <c r="AB55" t="s">
        <v>57</v>
      </c>
      <c r="AC55" t="s">
        <v>55</v>
      </c>
      <c r="AD55" t="s">
        <v>58</v>
      </c>
      <c r="AE55" t="s">
        <v>57</v>
      </c>
      <c r="AF55" t="s">
        <v>60</v>
      </c>
      <c r="AG55" t="s">
        <v>57</v>
      </c>
      <c r="AH55" t="s">
        <v>61</v>
      </c>
      <c r="AI55" t="s">
        <v>55</v>
      </c>
      <c r="AJ55" t="s">
        <v>55</v>
      </c>
      <c r="AK55" t="s">
        <v>59</v>
      </c>
      <c r="AL55" t="s">
        <v>55</v>
      </c>
      <c r="AM55" t="s">
        <v>57</v>
      </c>
      <c r="AN55" t="s">
        <v>81</v>
      </c>
      <c r="AO55" t="s">
        <v>57</v>
      </c>
      <c r="AP55" t="s">
        <v>55</v>
      </c>
      <c r="AQ55" t="s">
        <v>59</v>
      </c>
      <c r="AR55" t="s">
        <v>73</v>
      </c>
      <c r="AT55" t="str">
        <f t="shared" si="0"/>
        <v>raczej nie</v>
      </c>
      <c r="AU55" t="str">
        <f t="shared" si="1"/>
        <v>od 150 do 169 godzin</v>
      </c>
      <c r="AV55">
        <f t="shared" si="2"/>
        <v>169</v>
      </c>
      <c r="AW55">
        <f t="shared" si="3"/>
        <v>-1</v>
      </c>
      <c r="BA55" s="13"/>
    </row>
    <row r="56" spans="1:53" x14ac:dyDescent="0.2">
      <c r="A56" t="s">
        <v>115</v>
      </c>
      <c r="B56" t="s">
        <v>45</v>
      </c>
      <c r="C56" t="s">
        <v>46</v>
      </c>
      <c r="D56" t="s">
        <v>47</v>
      </c>
      <c r="E56" t="s">
        <v>48</v>
      </c>
      <c r="F56" t="s">
        <v>49</v>
      </c>
      <c r="G56" t="s">
        <v>50</v>
      </c>
      <c r="H56" t="s">
        <v>90</v>
      </c>
      <c r="I56" t="s">
        <v>70</v>
      </c>
      <c r="J56" t="s">
        <v>98</v>
      </c>
      <c r="K56" t="s">
        <v>54</v>
      </c>
      <c r="L56" t="s">
        <v>57</v>
      </c>
      <c r="M56" t="s">
        <v>51</v>
      </c>
      <c r="N56" t="s">
        <v>57</v>
      </c>
      <c r="O56" t="s">
        <v>57</v>
      </c>
      <c r="P56" t="s">
        <v>55</v>
      </c>
      <c r="Q56" t="s">
        <v>57</v>
      </c>
      <c r="R56" t="s">
        <v>55</v>
      </c>
      <c r="S56" t="s">
        <v>58</v>
      </c>
      <c r="T56" t="s">
        <v>59</v>
      </c>
      <c r="U56" t="s">
        <v>57</v>
      </c>
      <c r="V56" t="s">
        <v>58</v>
      </c>
      <c r="W56" t="s">
        <v>58</v>
      </c>
      <c r="X56" t="s">
        <v>59</v>
      </c>
      <c r="Y56" t="s">
        <v>55</v>
      </c>
      <c r="Z56" t="s">
        <v>58</v>
      </c>
      <c r="AA56" t="s">
        <v>58</v>
      </c>
      <c r="AB56" t="s">
        <v>58</v>
      </c>
      <c r="AC56" t="s">
        <v>58</v>
      </c>
      <c r="AD56" t="s">
        <v>58</v>
      </c>
      <c r="AE56" t="s">
        <v>58</v>
      </c>
      <c r="AF56" t="s">
        <v>94</v>
      </c>
      <c r="AG56" t="s">
        <v>57</v>
      </c>
      <c r="AH56" t="s">
        <v>61</v>
      </c>
      <c r="AI56" t="s">
        <v>59</v>
      </c>
      <c r="AJ56" t="s">
        <v>58</v>
      </c>
      <c r="AK56" t="s">
        <v>59</v>
      </c>
      <c r="AL56" t="s">
        <v>55</v>
      </c>
      <c r="AM56" t="s">
        <v>58</v>
      </c>
      <c r="AN56" t="s">
        <v>81</v>
      </c>
      <c r="AO56" t="s">
        <v>55</v>
      </c>
      <c r="AP56" t="s">
        <v>55</v>
      </c>
      <c r="AQ56" t="s">
        <v>57</v>
      </c>
      <c r="AR56" t="s">
        <v>73</v>
      </c>
      <c r="AT56" t="str">
        <f t="shared" si="0"/>
        <v>raczej nie</v>
      </c>
      <c r="AU56" t="str">
        <f t="shared" si="1"/>
        <v>od 150 do 169 godzin</v>
      </c>
      <c r="AV56">
        <f t="shared" si="2"/>
        <v>169</v>
      </c>
      <c r="AW56">
        <f t="shared" si="3"/>
        <v>-1</v>
      </c>
      <c r="BA56" s="13"/>
    </row>
    <row r="57" spans="1:53" x14ac:dyDescent="0.2">
      <c r="A57" t="s">
        <v>116</v>
      </c>
      <c r="B57" t="s">
        <v>45</v>
      </c>
      <c r="C57" t="s">
        <v>46</v>
      </c>
      <c r="D57" t="s">
        <v>47</v>
      </c>
      <c r="E57" t="s">
        <v>103</v>
      </c>
      <c r="F57" t="s">
        <v>92</v>
      </c>
      <c r="G57" t="s">
        <v>89</v>
      </c>
      <c r="H57" t="s">
        <v>90</v>
      </c>
      <c r="I57" t="s">
        <v>70</v>
      </c>
      <c r="J57" t="s">
        <v>98</v>
      </c>
      <c r="K57" t="s">
        <v>71</v>
      </c>
      <c r="L57" t="s">
        <v>57</v>
      </c>
      <c r="M57" t="s">
        <v>51</v>
      </c>
      <c r="N57" t="s">
        <v>57</v>
      </c>
      <c r="O57" t="s">
        <v>85</v>
      </c>
      <c r="P57" t="s">
        <v>55</v>
      </c>
      <c r="Q57" t="s">
        <v>57</v>
      </c>
      <c r="R57" t="s">
        <v>55</v>
      </c>
      <c r="S57" t="s">
        <v>73</v>
      </c>
      <c r="T57" t="s">
        <v>55</v>
      </c>
      <c r="U57" t="s">
        <v>55</v>
      </c>
      <c r="V57" t="s">
        <v>73</v>
      </c>
      <c r="W57" t="s">
        <v>57</v>
      </c>
      <c r="X57" t="s">
        <v>55</v>
      </c>
      <c r="Y57" t="s">
        <v>55</v>
      </c>
      <c r="Z57" t="s">
        <v>58</v>
      </c>
      <c r="AA57" t="s">
        <v>73</v>
      </c>
      <c r="AB57" t="s">
        <v>73</v>
      </c>
      <c r="AC57" t="s">
        <v>55</v>
      </c>
      <c r="AD57" t="s">
        <v>57</v>
      </c>
      <c r="AE57" t="s">
        <v>55</v>
      </c>
      <c r="AF57" t="s">
        <v>60</v>
      </c>
      <c r="AG57" t="s">
        <v>58</v>
      </c>
      <c r="AH57" t="s">
        <v>61</v>
      </c>
      <c r="AI57" t="s">
        <v>55</v>
      </c>
      <c r="AJ57" t="s">
        <v>55</v>
      </c>
      <c r="AK57" t="s">
        <v>59</v>
      </c>
      <c r="AL57" t="s">
        <v>57</v>
      </c>
      <c r="AM57" t="s">
        <v>57</v>
      </c>
      <c r="AN57" t="s">
        <v>81</v>
      </c>
      <c r="AO57" t="s">
        <v>58</v>
      </c>
      <c r="AP57" t="s">
        <v>55</v>
      </c>
      <c r="AQ57" t="s">
        <v>57</v>
      </c>
      <c r="AR57" t="s">
        <v>57</v>
      </c>
      <c r="AT57" t="str">
        <f t="shared" si="0"/>
        <v>raczej tak</v>
      </c>
      <c r="AU57" t="str">
        <f t="shared" si="1"/>
        <v>od 150 do 169 godzin</v>
      </c>
      <c r="AV57">
        <f t="shared" si="2"/>
        <v>169</v>
      </c>
      <c r="AW57">
        <f t="shared" si="3"/>
        <v>1</v>
      </c>
      <c r="BA57" s="13"/>
    </row>
    <row r="58" spans="1:53" x14ac:dyDescent="0.2">
      <c r="A58" t="s">
        <v>128</v>
      </c>
      <c r="B58" t="s">
        <v>45</v>
      </c>
      <c r="C58" t="s">
        <v>46</v>
      </c>
      <c r="D58" t="s">
        <v>121</v>
      </c>
      <c r="E58" t="s">
        <v>113</v>
      </c>
      <c r="F58" t="s">
        <v>49</v>
      </c>
      <c r="G58" t="s">
        <v>93</v>
      </c>
      <c r="H58" t="s">
        <v>90</v>
      </c>
      <c r="I58" t="s">
        <v>70</v>
      </c>
      <c r="J58" t="s">
        <v>98</v>
      </c>
      <c r="K58" t="s">
        <v>71</v>
      </c>
      <c r="L58" t="s">
        <v>57</v>
      </c>
      <c r="M58" t="s">
        <v>51</v>
      </c>
      <c r="N58" t="s">
        <v>59</v>
      </c>
      <c r="O58" t="s">
        <v>57</v>
      </c>
      <c r="P58" t="s">
        <v>59</v>
      </c>
      <c r="Q58" t="s">
        <v>57</v>
      </c>
      <c r="R58" t="s">
        <v>57</v>
      </c>
      <c r="S58" t="s">
        <v>55</v>
      </c>
      <c r="T58" t="s">
        <v>57</v>
      </c>
      <c r="U58" t="s">
        <v>58</v>
      </c>
      <c r="V58" t="s">
        <v>58</v>
      </c>
      <c r="W58" t="s">
        <v>59</v>
      </c>
      <c r="X58" t="s">
        <v>59</v>
      </c>
      <c r="Y58" t="s">
        <v>58</v>
      </c>
      <c r="Z58" t="s">
        <v>58</v>
      </c>
      <c r="AA58" t="s">
        <v>58</v>
      </c>
      <c r="AB58" t="s">
        <v>58</v>
      </c>
      <c r="AC58" t="s">
        <v>55</v>
      </c>
      <c r="AD58" t="s">
        <v>57</v>
      </c>
      <c r="AE58" t="s">
        <v>55</v>
      </c>
      <c r="AF58" t="s">
        <v>60</v>
      </c>
      <c r="AG58" t="s">
        <v>58</v>
      </c>
      <c r="AH58" t="s">
        <v>74</v>
      </c>
      <c r="AI58" t="s">
        <v>57</v>
      </c>
      <c r="AJ58" t="s">
        <v>58</v>
      </c>
      <c r="AK58" t="s">
        <v>55</v>
      </c>
      <c r="AL58" t="s">
        <v>58</v>
      </c>
      <c r="AM58" t="s">
        <v>57</v>
      </c>
      <c r="AN58" t="s">
        <v>62</v>
      </c>
      <c r="AO58" t="s">
        <v>57</v>
      </c>
      <c r="AP58" t="s">
        <v>58</v>
      </c>
      <c r="AQ58" t="s">
        <v>55</v>
      </c>
      <c r="AR58" t="s">
        <v>59</v>
      </c>
      <c r="AT58" t="str">
        <f t="shared" si="0"/>
        <v>zdecydowanie tak</v>
      </c>
      <c r="AU58" t="str">
        <f t="shared" si="1"/>
        <v>od 150 do 169 godzin</v>
      </c>
      <c r="AV58">
        <f t="shared" si="2"/>
        <v>169</v>
      </c>
      <c r="AW58">
        <f t="shared" si="3"/>
        <v>2</v>
      </c>
      <c r="BA58" s="13"/>
    </row>
    <row r="59" spans="1:53" x14ac:dyDescent="0.2">
      <c r="A59" t="s">
        <v>129</v>
      </c>
      <c r="B59" t="s">
        <v>45</v>
      </c>
      <c r="C59" t="s">
        <v>46</v>
      </c>
      <c r="D59" t="s">
        <v>121</v>
      </c>
      <c r="E59" t="s">
        <v>83</v>
      </c>
      <c r="F59" t="s">
        <v>49</v>
      </c>
      <c r="G59" t="s">
        <v>50</v>
      </c>
      <c r="H59" t="s">
        <v>90</v>
      </c>
      <c r="I59" t="s">
        <v>52</v>
      </c>
      <c r="J59" t="s">
        <v>98</v>
      </c>
      <c r="K59" t="s">
        <v>80</v>
      </c>
      <c r="L59" t="s">
        <v>57</v>
      </c>
      <c r="M59" t="s">
        <v>99</v>
      </c>
      <c r="N59" t="s">
        <v>85</v>
      </c>
      <c r="O59" t="s">
        <v>73</v>
      </c>
      <c r="P59" t="s">
        <v>59</v>
      </c>
      <c r="Q59" t="s">
        <v>57</v>
      </c>
      <c r="R59" t="s">
        <v>57</v>
      </c>
      <c r="S59" t="s">
        <v>55</v>
      </c>
      <c r="T59" t="s">
        <v>73</v>
      </c>
      <c r="U59" t="s">
        <v>58</v>
      </c>
      <c r="V59" t="s">
        <v>58</v>
      </c>
      <c r="W59" t="s">
        <v>55</v>
      </c>
      <c r="X59" t="s">
        <v>59</v>
      </c>
      <c r="Y59" t="s">
        <v>58</v>
      </c>
      <c r="Z59" t="s">
        <v>58</v>
      </c>
      <c r="AA59" t="s">
        <v>55</v>
      </c>
      <c r="AB59" t="s">
        <v>58</v>
      </c>
      <c r="AC59" t="s">
        <v>55</v>
      </c>
      <c r="AD59" t="s">
        <v>57</v>
      </c>
      <c r="AE59" t="s">
        <v>58</v>
      </c>
      <c r="AF59" t="s">
        <v>60</v>
      </c>
      <c r="AG59" t="s">
        <v>57</v>
      </c>
      <c r="AH59" t="s">
        <v>61</v>
      </c>
      <c r="AI59" t="s">
        <v>59</v>
      </c>
      <c r="AJ59" t="s">
        <v>59</v>
      </c>
      <c r="AK59" t="s">
        <v>59</v>
      </c>
      <c r="AL59" t="s">
        <v>58</v>
      </c>
      <c r="AM59" t="s">
        <v>55</v>
      </c>
      <c r="AN59" t="s">
        <v>62</v>
      </c>
      <c r="AO59" t="s">
        <v>59</v>
      </c>
      <c r="AP59" t="s">
        <v>57</v>
      </c>
      <c r="AQ59" t="s">
        <v>57</v>
      </c>
      <c r="AR59" t="s">
        <v>57</v>
      </c>
      <c r="AT59" t="str">
        <f t="shared" si="0"/>
        <v>zdecydowanie tak</v>
      </c>
      <c r="AU59" t="str">
        <f t="shared" si="1"/>
        <v>od 150 do 169 godzin</v>
      </c>
      <c r="AV59">
        <f t="shared" si="2"/>
        <v>169</v>
      </c>
      <c r="AW59">
        <f t="shared" si="3"/>
        <v>2</v>
      </c>
      <c r="BA59" s="13"/>
    </row>
    <row r="60" spans="1:53" x14ac:dyDescent="0.2">
      <c r="A60" t="s">
        <v>131</v>
      </c>
      <c r="B60" t="s">
        <v>45</v>
      </c>
      <c r="C60" t="s">
        <v>46</v>
      </c>
      <c r="D60" t="s">
        <v>88</v>
      </c>
      <c r="E60" t="s">
        <v>48</v>
      </c>
      <c r="F60" t="s">
        <v>49</v>
      </c>
      <c r="G60" t="s">
        <v>89</v>
      </c>
      <c r="H60" t="s">
        <v>90</v>
      </c>
      <c r="I60" t="s">
        <v>70</v>
      </c>
      <c r="J60" t="s">
        <v>98</v>
      </c>
      <c r="K60" t="s">
        <v>80</v>
      </c>
      <c r="L60" t="s">
        <v>58</v>
      </c>
      <c r="M60" t="s">
        <v>132</v>
      </c>
      <c r="N60" t="s">
        <v>85</v>
      </c>
      <c r="O60" t="s">
        <v>85</v>
      </c>
      <c r="P60" t="s">
        <v>55</v>
      </c>
      <c r="Q60" t="s">
        <v>57</v>
      </c>
      <c r="R60" t="s">
        <v>57</v>
      </c>
      <c r="S60" t="s">
        <v>57</v>
      </c>
      <c r="T60" t="s">
        <v>55</v>
      </c>
      <c r="U60" t="s">
        <v>55</v>
      </c>
      <c r="V60" t="s">
        <v>55</v>
      </c>
      <c r="W60" t="s">
        <v>55</v>
      </c>
      <c r="X60" t="s">
        <v>59</v>
      </c>
      <c r="Y60" t="s">
        <v>55</v>
      </c>
      <c r="Z60" t="s">
        <v>55</v>
      </c>
      <c r="AA60" t="s">
        <v>55</v>
      </c>
      <c r="AB60" t="s">
        <v>58</v>
      </c>
      <c r="AC60" t="s">
        <v>59</v>
      </c>
      <c r="AD60" t="s">
        <v>57</v>
      </c>
      <c r="AE60" t="s">
        <v>57</v>
      </c>
      <c r="AF60" t="s">
        <v>60</v>
      </c>
      <c r="AG60" t="s">
        <v>57</v>
      </c>
      <c r="AH60" t="s">
        <v>61</v>
      </c>
      <c r="AI60" t="s">
        <v>59</v>
      </c>
      <c r="AJ60" t="s">
        <v>55</v>
      </c>
      <c r="AK60" t="s">
        <v>59</v>
      </c>
      <c r="AL60" t="s">
        <v>55</v>
      </c>
      <c r="AM60" t="s">
        <v>58</v>
      </c>
      <c r="AN60" t="s">
        <v>62</v>
      </c>
      <c r="AO60" t="s">
        <v>55</v>
      </c>
      <c r="AP60" t="s">
        <v>59</v>
      </c>
      <c r="AQ60" t="s">
        <v>58</v>
      </c>
      <c r="AR60" t="s">
        <v>55</v>
      </c>
      <c r="AT60" t="str">
        <f t="shared" si="0"/>
        <v>raczej nie</v>
      </c>
      <c r="AU60" t="str">
        <f t="shared" si="1"/>
        <v>od 150 do 169 godzin</v>
      </c>
      <c r="AV60">
        <f t="shared" si="2"/>
        <v>169</v>
      </c>
      <c r="AW60">
        <f t="shared" si="3"/>
        <v>-1</v>
      </c>
      <c r="BA60" s="13"/>
    </row>
    <row r="61" spans="1:53" x14ac:dyDescent="0.2">
      <c r="A61" t="s">
        <v>133</v>
      </c>
      <c r="B61" t="s">
        <v>45</v>
      </c>
      <c r="C61" t="s">
        <v>46</v>
      </c>
      <c r="D61" t="s">
        <v>88</v>
      </c>
      <c r="E61" t="s">
        <v>83</v>
      </c>
      <c r="F61" t="s">
        <v>77</v>
      </c>
      <c r="G61" t="s">
        <v>89</v>
      </c>
      <c r="H61" t="s">
        <v>90</v>
      </c>
      <c r="I61" t="s">
        <v>70</v>
      </c>
      <c r="J61" t="s">
        <v>98</v>
      </c>
      <c r="K61" t="s">
        <v>80</v>
      </c>
      <c r="L61" t="s">
        <v>57</v>
      </c>
      <c r="M61" t="s">
        <v>99</v>
      </c>
      <c r="N61" t="s">
        <v>57</v>
      </c>
      <c r="O61" t="s">
        <v>85</v>
      </c>
      <c r="P61" t="s">
        <v>55</v>
      </c>
      <c r="Q61" t="s">
        <v>58</v>
      </c>
      <c r="R61" t="s">
        <v>73</v>
      </c>
      <c r="S61" t="s">
        <v>73</v>
      </c>
      <c r="T61" t="s">
        <v>55</v>
      </c>
      <c r="U61" t="s">
        <v>73</v>
      </c>
      <c r="V61" t="s">
        <v>55</v>
      </c>
      <c r="W61" t="s">
        <v>58</v>
      </c>
      <c r="X61" t="s">
        <v>73</v>
      </c>
      <c r="Y61" t="s">
        <v>57</v>
      </c>
      <c r="Z61" t="s">
        <v>58</v>
      </c>
      <c r="AA61" t="s">
        <v>57</v>
      </c>
      <c r="AB61" t="s">
        <v>57</v>
      </c>
      <c r="AC61" t="s">
        <v>57</v>
      </c>
      <c r="AD61" t="s">
        <v>57</v>
      </c>
      <c r="AE61" t="s">
        <v>58</v>
      </c>
      <c r="AF61" t="s">
        <v>60</v>
      </c>
      <c r="AG61" t="s">
        <v>55</v>
      </c>
      <c r="AH61" t="s">
        <v>61</v>
      </c>
      <c r="AI61" t="s">
        <v>73</v>
      </c>
      <c r="AJ61" t="s">
        <v>55</v>
      </c>
      <c r="AK61" t="s">
        <v>73</v>
      </c>
      <c r="AL61" t="s">
        <v>57</v>
      </c>
      <c r="AM61" t="s">
        <v>55</v>
      </c>
      <c r="AN61" t="s">
        <v>62</v>
      </c>
      <c r="AO61" t="s">
        <v>55</v>
      </c>
      <c r="AP61" t="s">
        <v>55</v>
      </c>
      <c r="AQ61" t="s">
        <v>73</v>
      </c>
      <c r="AR61" t="s">
        <v>59</v>
      </c>
      <c r="AT61" t="str">
        <f t="shared" si="0"/>
        <v>raczej tak</v>
      </c>
      <c r="AU61" t="str">
        <f t="shared" si="1"/>
        <v>od 150 do 169 godzin</v>
      </c>
      <c r="AV61">
        <f t="shared" si="2"/>
        <v>169</v>
      </c>
      <c r="AW61">
        <f t="shared" si="3"/>
        <v>1</v>
      </c>
      <c r="BA61" s="13"/>
    </row>
    <row r="62" spans="1:53" x14ac:dyDescent="0.2">
      <c r="A62" t="s">
        <v>135</v>
      </c>
      <c r="B62" t="s">
        <v>45</v>
      </c>
      <c r="C62" t="s">
        <v>46</v>
      </c>
      <c r="D62" t="s">
        <v>123</v>
      </c>
      <c r="E62" t="s">
        <v>126</v>
      </c>
      <c r="F62" t="s">
        <v>49</v>
      </c>
      <c r="G62" t="s">
        <v>97</v>
      </c>
      <c r="H62" t="s">
        <v>90</v>
      </c>
      <c r="I62" t="s">
        <v>70</v>
      </c>
      <c r="J62" t="s">
        <v>98</v>
      </c>
      <c r="K62" t="s">
        <v>54</v>
      </c>
      <c r="L62" t="s">
        <v>58</v>
      </c>
      <c r="M62" t="s">
        <v>51</v>
      </c>
      <c r="N62" t="s">
        <v>57</v>
      </c>
      <c r="O62" t="s">
        <v>104</v>
      </c>
      <c r="P62" t="s">
        <v>55</v>
      </c>
      <c r="Q62" t="s">
        <v>59</v>
      </c>
      <c r="R62" t="s">
        <v>59</v>
      </c>
      <c r="S62" t="s">
        <v>59</v>
      </c>
      <c r="T62" t="s">
        <v>59</v>
      </c>
      <c r="U62" t="s">
        <v>59</v>
      </c>
      <c r="V62" t="s">
        <v>55</v>
      </c>
      <c r="W62" t="s">
        <v>58</v>
      </c>
      <c r="X62" t="s">
        <v>59</v>
      </c>
      <c r="Y62" t="s">
        <v>57</v>
      </c>
      <c r="Z62" t="s">
        <v>73</v>
      </c>
      <c r="AA62" t="s">
        <v>73</v>
      </c>
      <c r="AB62" t="s">
        <v>73</v>
      </c>
      <c r="AC62" t="s">
        <v>73</v>
      </c>
      <c r="AD62" t="s">
        <v>58</v>
      </c>
      <c r="AE62" t="s">
        <v>58</v>
      </c>
      <c r="AF62" t="s">
        <v>60</v>
      </c>
      <c r="AG62" t="s">
        <v>57</v>
      </c>
      <c r="AH62" t="s">
        <v>61</v>
      </c>
      <c r="AI62" t="s">
        <v>59</v>
      </c>
      <c r="AJ62" t="s">
        <v>55</v>
      </c>
      <c r="AK62" t="s">
        <v>59</v>
      </c>
      <c r="AL62" t="s">
        <v>57</v>
      </c>
      <c r="AM62" t="s">
        <v>57</v>
      </c>
      <c r="AN62" t="s">
        <v>81</v>
      </c>
      <c r="AO62" t="s">
        <v>55</v>
      </c>
      <c r="AP62" t="s">
        <v>58</v>
      </c>
      <c r="AQ62" t="s">
        <v>58</v>
      </c>
      <c r="AR62" t="s">
        <v>57</v>
      </c>
      <c r="AT62" t="str">
        <f t="shared" si="0"/>
        <v>raczej tak</v>
      </c>
      <c r="AU62" t="str">
        <f t="shared" si="1"/>
        <v>od 150 do 169 godzin</v>
      </c>
      <c r="AV62">
        <f t="shared" si="2"/>
        <v>169</v>
      </c>
      <c r="AW62">
        <f t="shared" si="3"/>
        <v>1</v>
      </c>
      <c r="BA62" s="13"/>
    </row>
    <row r="63" spans="1:53" x14ac:dyDescent="0.2">
      <c r="A63" t="s">
        <v>142</v>
      </c>
      <c r="B63" t="s">
        <v>45</v>
      </c>
      <c r="C63" t="s">
        <v>46</v>
      </c>
      <c r="D63" t="s">
        <v>47</v>
      </c>
      <c r="E63" t="s">
        <v>103</v>
      </c>
      <c r="F63" t="s">
        <v>49</v>
      </c>
      <c r="G63" t="s">
        <v>89</v>
      </c>
      <c r="H63" t="s">
        <v>90</v>
      </c>
      <c r="I63" t="s">
        <v>70</v>
      </c>
      <c r="J63" t="s">
        <v>98</v>
      </c>
      <c r="K63" t="s">
        <v>54</v>
      </c>
      <c r="L63" t="s">
        <v>57</v>
      </c>
      <c r="M63" t="s">
        <v>51</v>
      </c>
      <c r="N63" t="s">
        <v>57</v>
      </c>
      <c r="O63" t="s">
        <v>85</v>
      </c>
      <c r="P63" t="s">
        <v>55</v>
      </c>
      <c r="Q63" t="s">
        <v>55</v>
      </c>
      <c r="R63" t="s">
        <v>55</v>
      </c>
      <c r="S63" t="s">
        <v>55</v>
      </c>
      <c r="T63" t="s">
        <v>55</v>
      </c>
      <c r="U63" t="s">
        <v>57</v>
      </c>
      <c r="V63" t="s">
        <v>58</v>
      </c>
      <c r="W63" t="s">
        <v>55</v>
      </c>
      <c r="X63" t="s">
        <v>59</v>
      </c>
      <c r="Y63" t="s">
        <v>59</v>
      </c>
      <c r="Z63" t="s">
        <v>58</v>
      </c>
      <c r="AA63" t="s">
        <v>57</v>
      </c>
      <c r="AB63" t="s">
        <v>57</v>
      </c>
      <c r="AC63" t="s">
        <v>58</v>
      </c>
      <c r="AD63" t="s">
        <v>73</v>
      </c>
      <c r="AE63" t="s">
        <v>55</v>
      </c>
      <c r="AF63" t="s">
        <v>60</v>
      </c>
      <c r="AG63" t="s">
        <v>57</v>
      </c>
      <c r="AH63" t="s">
        <v>61</v>
      </c>
      <c r="AI63" t="s">
        <v>57</v>
      </c>
      <c r="AJ63" t="s">
        <v>73</v>
      </c>
      <c r="AK63" t="s">
        <v>55</v>
      </c>
      <c r="AL63" t="s">
        <v>57</v>
      </c>
      <c r="AM63" t="s">
        <v>57</v>
      </c>
      <c r="AN63" t="s">
        <v>62</v>
      </c>
      <c r="AO63" t="s">
        <v>55</v>
      </c>
      <c r="AP63" t="s">
        <v>57</v>
      </c>
      <c r="AQ63" t="s">
        <v>57</v>
      </c>
      <c r="AR63" t="s">
        <v>57</v>
      </c>
      <c r="AT63" t="str">
        <f t="shared" si="0"/>
        <v>raczej tak</v>
      </c>
      <c r="AU63" t="str">
        <f t="shared" si="1"/>
        <v>od 150 do 169 godzin</v>
      </c>
      <c r="AV63">
        <f t="shared" si="2"/>
        <v>169</v>
      </c>
      <c r="AW63">
        <f t="shared" si="3"/>
        <v>1</v>
      </c>
      <c r="BA63" s="13"/>
    </row>
    <row r="64" spans="1:53" x14ac:dyDescent="0.2">
      <c r="A64" t="s">
        <v>146</v>
      </c>
      <c r="B64" t="s">
        <v>45</v>
      </c>
      <c r="C64" t="s">
        <v>46</v>
      </c>
      <c r="D64" t="s">
        <v>47</v>
      </c>
      <c r="E64" t="s">
        <v>103</v>
      </c>
      <c r="F64" t="s">
        <v>49</v>
      </c>
      <c r="G64" t="s">
        <v>97</v>
      </c>
      <c r="H64" t="s">
        <v>90</v>
      </c>
      <c r="I64" t="s">
        <v>70</v>
      </c>
      <c r="J64" t="s">
        <v>98</v>
      </c>
      <c r="K64" t="s">
        <v>54</v>
      </c>
      <c r="L64" t="s">
        <v>57</v>
      </c>
      <c r="M64" t="s">
        <v>99</v>
      </c>
      <c r="N64" t="s">
        <v>85</v>
      </c>
      <c r="O64" t="s">
        <v>104</v>
      </c>
      <c r="P64" t="s">
        <v>59</v>
      </c>
      <c r="Q64" t="s">
        <v>58</v>
      </c>
      <c r="R64" t="s">
        <v>55</v>
      </c>
      <c r="S64" t="s">
        <v>73</v>
      </c>
      <c r="T64" t="s">
        <v>57</v>
      </c>
      <c r="U64" t="s">
        <v>59</v>
      </c>
      <c r="V64" t="s">
        <v>58</v>
      </c>
      <c r="W64" t="s">
        <v>57</v>
      </c>
      <c r="X64" t="s">
        <v>58</v>
      </c>
      <c r="Y64" t="s">
        <v>55</v>
      </c>
      <c r="Z64" t="s">
        <v>58</v>
      </c>
      <c r="AA64" t="s">
        <v>57</v>
      </c>
      <c r="AB64" t="s">
        <v>57</v>
      </c>
      <c r="AC64" t="s">
        <v>59</v>
      </c>
      <c r="AD64" t="s">
        <v>58</v>
      </c>
      <c r="AE64" t="s">
        <v>58</v>
      </c>
      <c r="AF64" t="s">
        <v>60</v>
      </c>
      <c r="AG64" t="s">
        <v>57</v>
      </c>
      <c r="AH64" t="s">
        <v>61</v>
      </c>
      <c r="AI64" t="s">
        <v>55</v>
      </c>
      <c r="AJ64" t="s">
        <v>59</v>
      </c>
      <c r="AK64" t="s">
        <v>73</v>
      </c>
      <c r="AL64" t="s">
        <v>57</v>
      </c>
      <c r="AM64" t="s">
        <v>55</v>
      </c>
      <c r="AN64" t="s">
        <v>62</v>
      </c>
      <c r="AO64" t="s">
        <v>73</v>
      </c>
      <c r="AP64" t="s">
        <v>55</v>
      </c>
      <c r="AQ64" t="s">
        <v>57</v>
      </c>
      <c r="AR64" t="s">
        <v>57</v>
      </c>
      <c r="AT64" t="str">
        <f t="shared" si="0"/>
        <v>raczej tak</v>
      </c>
      <c r="AU64" t="str">
        <f t="shared" si="1"/>
        <v>od 150 do 169 godzin</v>
      </c>
      <c r="AV64">
        <f t="shared" si="2"/>
        <v>169</v>
      </c>
      <c r="AW64">
        <f t="shared" si="3"/>
        <v>1</v>
      </c>
      <c r="BA64" s="13"/>
    </row>
    <row r="65" spans="1:53" x14ac:dyDescent="0.2">
      <c r="A65" t="s">
        <v>147</v>
      </c>
      <c r="B65" t="s">
        <v>45</v>
      </c>
      <c r="C65" t="s">
        <v>46</v>
      </c>
      <c r="D65" t="s">
        <v>47</v>
      </c>
      <c r="E65" t="s">
        <v>113</v>
      </c>
      <c r="F65" t="s">
        <v>49</v>
      </c>
      <c r="G65" t="s">
        <v>97</v>
      </c>
      <c r="H65" t="s">
        <v>90</v>
      </c>
      <c r="I65" t="s">
        <v>70</v>
      </c>
      <c r="J65" t="s">
        <v>98</v>
      </c>
      <c r="K65" t="s">
        <v>54</v>
      </c>
      <c r="L65" t="s">
        <v>57</v>
      </c>
      <c r="M65" t="s">
        <v>51</v>
      </c>
      <c r="N65" t="s">
        <v>85</v>
      </c>
      <c r="O65" t="s">
        <v>85</v>
      </c>
      <c r="P65" t="s">
        <v>59</v>
      </c>
      <c r="Q65" t="s">
        <v>58</v>
      </c>
      <c r="R65" t="s">
        <v>57</v>
      </c>
      <c r="S65" t="s">
        <v>55</v>
      </c>
      <c r="T65" t="s">
        <v>59</v>
      </c>
      <c r="U65" t="s">
        <v>57</v>
      </c>
      <c r="V65" t="s">
        <v>58</v>
      </c>
      <c r="W65" t="s">
        <v>58</v>
      </c>
      <c r="X65" t="s">
        <v>55</v>
      </c>
      <c r="Y65" t="s">
        <v>59</v>
      </c>
      <c r="Z65" t="s">
        <v>58</v>
      </c>
      <c r="AA65" t="s">
        <v>58</v>
      </c>
      <c r="AB65" t="s">
        <v>58</v>
      </c>
      <c r="AC65" t="s">
        <v>58</v>
      </c>
      <c r="AD65" t="s">
        <v>57</v>
      </c>
      <c r="AE65" t="s">
        <v>55</v>
      </c>
      <c r="AF65" t="s">
        <v>60</v>
      </c>
      <c r="AG65" t="s">
        <v>55</v>
      </c>
      <c r="AH65" t="s">
        <v>74</v>
      </c>
      <c r="AI65" t="s">
        <v>57</v>
      </c>
      <c r="AJ65" t="s">
        <v>57</v>
      </c>
      <c r="AK65" t="s">
        <v>57</v>
      </c>
      <c r="AL65" t="s">
        <v>58</v>
      </c>
      <c r="AM65" t="s">
        <v>55</v>
      </c>
      <c r="AN65" t="s">
        <v>62</v>
      </c>
      <c r="AO65" t="s">
        <v>57</v>
      </c>
      <c r="AP65" t="s">
        <v>57</v>
      </c>
      <c r="AQ65" t="s">
        <v>57</v>
      </c>
      <c r="AR65" t="s">
        <v>59</v>
      </c>
      <c r="AT65" t="str">
        <f t="shared" si="0"/>
        <v>zdecydowanie tak</v>
      </c>
      <c r="AU65" t="str">
        <f t="shared" si="1"/>
        <v>od 150 do 169 godzin</v>
      </c>
      <c r="AV65">
        <f t="shared" si="2"/>
        <v>169</v>
      </c>
      <c r="AW65">
        <f t="shared" si="3"/>
        <v>2</v>
      </c>
      <c r="BA65" s="13"/>
    </row>
    <row r="66" spans="1:53" x14ac:dyDescent="0.2">
      <c r="A66" t="s">
        <v>151</v>
      </c>
      <c r="B66" t="s">
        <v>45</v>
      </c>
      <c r="C66" t="s">
        <v>46</v>
      </c>
      <c r="D66" t="s">
        <v>121</v>
      </c>
      <c r="E66" t="s">
        <v>113</v>
      </c>
      <c r="F66" t="s">
        <v>49</v>
      </c>
      <c r="G66" t="s">
        <v>68</v>
      </c>
      <c r="H66" t="s">
        <v>90</v>
      </c>
      <c r="I66" t="s">
        <v>70</v>
      </c>
      <c r="J66" t="s">
        <v>98</v>
      </c>
      <c r="K66" t="s">
        <v>80</v>
      </c>
      <c r="L66" t="s">
        <v>58</v>
      </c>
      <c r="M66" t="s">
        <v>51</v>
      </c>
      <c r="N66" t="s">
        <v>57</v>
      </c>
      <c r="O66" t="s">
        <v>85</v>
      </c>
      <c r="P66" t="s">
        <v>57</v>
      </c>
      <c r="Q66" t="s">
        <v>55</v>
      </c>
      <c r="R66" t="s">
        <v>55</v>
      </c>
      <c r="S66" t="s">
        <v>73</v>
      </c>
      <c r="T66" t="s">
        <v>55</v>
      </c>
      <c r="U66" t="s">
        <v>57</v>
      </c>
      <c r="V66" t="s">
        <v>57</v>
      </c>
      <c r="W66" t="s">
        <v>55</v>
      </c>
      <c r="X66" t="s">
        <v>59</v>
      </c>
      <c r="Y66" t="s">
        <v>57</v>
      </c>
      <c r="Z66" t="s">
        <v>57</v>
      </c>
      <c r="AA66" t="s">
        <v>57</v>
      </c>
      <c r="AB66" t="s">
        <v>57</v>
      </c>
      <c r="AC66" t="s">
        <v>55</v>
      </c>
      <c r="AD66" t="s">
        <v>55</v>
      </c>
      <c r="AE66" t="s">
        <v>57</v>
      </c>
      <c r="AF66" t="s">
        <v>60</v>
      </c>
      <c r="AG66" t="s">
        <v>57</v>
      </c>
      <c r="AH66" t="s">
        <v>61</v>
      </c>
      <c r="AI66" t="s">
        <v>59</v>
      </c>
      <c r="AJ66" t="s">
        <v>55</v>
      </c>
      <c r="AK66" t="s">
        <v>55</v>
      </c>
      <c r="AL66" t="s">
        <v>55</v>
      </c>
      <c r="AM66" t="s">
        <v>57</v>
      </c>
      <c r="AN66" t="s">
        <v>62</v>
      </c>
      <c r="AO66" t="s">
        <v>55</v>
      </c>
      <c r="AP66" t="s">
        <v>55</v>
      </c>
      <c r="AQ66" t="s">
        <v>57</v>
      </c>
      <c r="AR66" t="s">
        <v>57</v>
      </c>
      <c r="AT66" t="str">
        <f t="shared" si="0"/>
        <v>raczej nie</v>
      </c>
      <c r="AU66" t="str">
        <f t="shared" si="1"/>
        <v>od 150 do 169 godzin</v>
      </c>
      <c r="AV66">
        <f t="shared" si="2"/>
        <v>169</v>
      </c>
      <c r="AW66">
        <f t="shared" si="3"/>
        <v>-1</v>
      </c>
    </row>
    <row r="67" spans="1:53" x14ac:dyDescent="0.2">
      <c r="A67" t="s">
        <v>161</v>
      </c>
      <c r="B67" t="s">
        <v>45</v>
      </c>
      <c r="C67" t="s">
        <v>46</v>
      </c>
      <c r="D67" t="s">
        <v>47</v>
      </c>
      <c r="E67" t="s">
        <v>111</v>
      </c>
      <c r="F67" t="s">
        <v>49</v>
      </c>
      <c r="G67" t="s">
        <v>89</v>
      </c>
      <c r="H67" t="s">
        <v>90</v>
      </c>
      <c r="I67" t="s">
        <v>70</v>
      </c>
      <c r="J67" t="s">
        <v>98</v>
      </c>
      <c r="K67" t="s">
        <v>54</v>
      </c>
      <c r="L67" t="s">
        <v>58</v>
      </c>
      <c r="M67" t="s">
        <v>99</v>
      </c>
      <c r="N67" t="s">
        <v>57</v>
      </c>
      <c r="O67" t="s">
        <v>85</v>
      </c>
      <c r="P67" t="s">
        <v>55</v>
      </c>
      <c r="Q67" t="s">
        <v>55</v>
      </c>
      <c r="R67" t="s">
        <v>57</v>
      </c>
      <c r="S67" t="s">
        <v>55</v>
      </c>
      <c r="T67" t="s">
        <v>59</v>
      </c>
      <c r="U67" t="s">
        <v>57</v>
      </c>
      <c r="V67" t="s">
        <v>57</v>
      </c>
      <c r="W67" t="s">
        <v>58</v>
      </c>
      <c r="X67" t="s">
        <v>55</v>
      </c>
      <c r="Y67" t="s">
        <v>73</v>
      </c>
      <c r="Z67" t="s">
        <v>57</v>
      </c>
      <c r="AA67" t="s">
        <v>57</v>
      </c>
      <c r="AB67" t="s">
        <v>57</v>
      </c>
      <c r="AC67" t="s">
        <v>55</v>
      </c>
      <c r="AD67" t="s">
        <v>58</v>
      </c>
      <c r="AE67" t="s">
        <v>57</v>
      </c>
      <c r="AF67" t="s">
        <v>60</v>
      </c>
      <c r="AG67" t="s">
        <v>57</v>
      </c>
      <c r="AH67" t="s">
        <v>86</v>
      </c>
      <c r="AI67" t="s">
        <v>55</v>
      </c>
      <c r="AJ67" t="s">
        <v>57</v>
      </c>
      <c r="AK67" t="s">
        <v>55</v>
      </c>
      <c r="AL67" t="s">
        <v>57</v>
      </c>
      <c r="AM67" t="s">
        <v>55</v>
      </c>
      <c r="AN67" t="s">
        <v>81</v>
      </c>
      <c r="AO67" t="s">
        <v>58</v>
      </c>
      <c r="AP67" t="s">
        <v>73</v>
      </c>
      <c r="AQ67" t="s">
        <v>58</v>
      </c>
      <c r="AR67" t="s">
        <v>57</v>
      </c>
      <c r="AT67" t="str">
        <f t="shared" si="0"/>
        <v>raczej tak</v>
      </c>
      <c r="AU67" t="str">
        <f t="shared" si="1"/>
        <v>od 150 do 169 godzin</v>
      </c>
      <c r="AV67">
        <f t="shared" si="2"/>
        <v>169</v>
      </c>
      <c r="AW67">
        <f t="shared" si="3"/>
        <v>1</v>
      </c>
    </row>
    <row r="68" spans="1:53" x14ac:dyDescent="0.2">
      <c r="A68" t="s">
        <v>170</v>
      </c>
      <c r="B68" t="s">
        <v>45</v>
      </c>
      <c r="C68" t="s">
        <v>46</v>
      </c>
      <c r="D68" t="s">
        <v>121</v>
      </c>
      <c r="E68" t="s">
        <v>103</v>
      </c>
      <c r="F68" t="s">
        <v>49</v>
      </c>
      <c r="G68" t="s">
        <v>93</v>
      </c>
      <c r="H68" t="s">
        <v>90</v>
      </c>
      <c r="I68" t="s">
        <v>70</v>
      </c>
      <c r="J68" t="s">
        <v>98</v>
      </c>
      <c r="K68" t="s">
        <v>80</v>
      </c>
      <c r="L68" t="s">
        <v>55</v>
      </c>
      <c r="M68" t="s">
        <v>99</v>
      </c>
      <c r="N68" t="s">
        <v>57</v>
      </c>
      <c r="O68" t="s">
        <v>104</v>
      </c>
      <c r="P68" t="s">
        <v>59</v>
      </c>
      <c r="Q68" t="s">
        <v>58</v>
      </c>
      <c r="R68" t="s">
        <v>57</v>
      </c>
      <c r="S68" t="s">
        <v>55</v>
      </c>
      <c r="T68" t="s">
        <v>55</v>
      </c>
      <c r="U68" t="s">
        <v>57</v>
      </c>
      <c r="V68" t="s">
        <v>58</v>
      </c>
      <c r="W68" t="s">
        <v>57</v>
      </c>
      <c r="X68" t="s">
        <v>55</v>
      </c>
      <c r="Y68" t="s">
        <v>59</v>
      </c>
      <c r="Z68" t="s">
        <v>57</v>
      </c>
      <c r="AA68" t="s">
        <v>55</v>
      </c>
      <c r="AB68" t="s">
        <v>59</v>
      </c>
      <c r="AC68" t="s">
        <v>58</v>
      </c>
      <c r="AD68" t="s">
        <v>57</v>
      </c>
      <c r="AE68" t="s">
        <v>57</v>
      </c>
      <c r="AF68" t="s">
        <v>60</v>
      </c>
      <c r="AG68" t="s">
        <v>57</v>
      </c>
      <c r="AH68" t="s">
        <v>61</v>
      </c>
      <c r="AI68" t="s">
        <v>55</v>
      </c>
      <c r="AJ68" t="s">
        <v>57</v>
      </c>
      <c r="AK68" t="s">
        <v>59</v>
      </c>
      <c r="AL68" t="s">
        <v>58</v>
      </c>
      <c r="AM68" t="s">
        <v>55</v>
      </c>
      <c r="AN68" t="s">
        <v>62</v>
      </c>
      <c r="AO68" t="s">
        <v>73</v>
      </c>
      <c r="AP68" t="s">
        <v>55</v>
      </c>
      <c r="AQ68" t="s">
        <v>55</v>
      </c>
      <c r="AR68" t="s">
        <v>57</v>
      </c>
      <c r="AT68" t="str">
        <f t="shared" ref="AT68:AT118" si="28">AL68</f>
        <v>zdecydowanie tak</v>
      </c>
      <c r="AU68" t="str">
        <f t="shared" si="1"/>
        <v>od 150 do 169 godzin</v>
      </c>
      <c r="AV68">
        <f t="shared" si="2"/>
        <v>169</v>
      </c>
      <c r="AW68">
        <f t="shared" si="3"/>
        <v>2</v>
      </c>
    </row>
    <row r="69" spans="1:53" x14ac:dyDescent="0.2">
      <c r="A69" t="s">
        <v>172</v>
      </c>
      <c r="B69" t="s">
        <v>45</v>
      </c>
      <c r="C69" t="s">
        <v>46</v>
      </c>
      <c r="D69" t="s">
        <v>121</v>
      </c>
      <c r="E69" t="s">
        <v>113</v>
      </c>
      <c r="F69" t="s">
        <v>49</v>
      </c>
      <c r="G69" t="s">
        <v>68</v>
      </c>
      <c r="H69" t="s">
        <v>90</v>
      </c>
      <c r="I69" t="s">
        <v>70</v>
      </c>
      <c r="J69" t="s">
        <v>98</v>
      </c>
      <c r="K69" t="s">
        <v>80</v>
      </c>
      <c r="L69" t="s">
        <v>58</v>
      </c>
      <c r="M69" t="s">
        <v>51</v>
      </c>
      <c r="N69" t="s">
        <v>57</v>
      </c>
      <c r="O69" t="s">
        <v>85</v>
      </c>
      <c r="P69" t="s">
        <v>55</v>
      </c>
      <c r="Q69" t="s">
        <v>57</v>
      </c>
      <c r="R69" t="s">
        <v>57</v>
      </c>
      <c r="S69" t="s">
        <v>73</v>
      </c>
      <c r="T69" t="s">
        <v>55</v>
      </c>
      <c r="U69" t="s">
        <v>55</v>
      </c>
      <c r="V69" t="s">
        <v>57</v>
      </c>
      <c r="W69" t="s">
        <v>57</v>
      </c>
      <c r="X69" t="s">
        <v>55</v>
      </c>
      <c r="Y69" t="s">
        <v>57</v>
      </c>
      <c r="Z69" t="s">
        <v>58</v>
      </c>
      <c r="AA69" t="s">
        <v>58</v>
      </c>
      <c r="AB69" t="s">
        <v>55</v>
      </c>
      <c r="AC69" t="s">
        <v>55</v>
      </c>
      <c r="AD69" t="s">
        <v>55</v>
      </c>
      <c r="AE69" t="s">
        <v>58</v>
      </c>
      <c r="AF69" t="s">
        <v>60</v>
      </c>
      <c r="AG69" t="s">
        <v>58</v>
      </c>
      <c r="AH69" t="s">
        <v>61</v>
      </c>
      <c r="AI69" t="s">
        <v>59</v>
      </c>
      <c r="AJ69" t="s">
        <v>57</v>
      </c>
      <c r="AK69" t="s">
        <v>55</v>
      </c>
      <c r="AL69" t="s">
        <v>55</v>
      </c>
      <c r="AM69" t="s">
        <v>57</v>
      </c>
      <c r="AN69" t="s">
        <v>62</v>
      </c>
      <c r="AO69" t="s">
        <v>59</v>
      </c>
      <c r="AP69" t="s">
        <v>55</v>
      </c>
      <c r="AQ69" t="s">
        <v>57</v>
      </c>
      <c r="AR69" t="s">
        <v>57</v>
      </c>
      <c r="AT69" t="str">
        <f t="shared" si="28"/>
        <v>raczej nie</v>
      </c>
      <c r="AU69" t="str">
        <f t="shared" ref="AU69:AU118" si="29">J69</f>
        <v>od 150 do 169 godzin</v>
      </c>
      <c r="AV69">
        <f t="shared" ref="AV69:AV118" si="30">WymiarGodzin(AU69)</f>
        <v>169</v>
      </c>
      <c r="AW69">
        <f t="shared" ref="AW69:AW118" si="31">taknie2liczba(AT69)</f>
        <v>-1</v>
      </c>
    </row>
    <row r="70" spans="1:53" x14ac:dyDescent="0.2">
      <c r="A70" t="s">
        <v>174</v>
      </c>
      <c r="B70" t="s">
        <v>45</v>
      </c>
      <c r="C70" t="s">
        <v>46</v>
      </c>
      <c r="D70" t="s">
        <v>47</v>
      </c>
      <c r="E70" t="s">
        <v>103</v>
      </c>
      <c r="F70" t="s">
        <v>49</v>
      </c>
      <c r="G70" t="s">
        <v>50</v>
      </c>
      <c r="H70" t="s">
        <v>90</v>
      </c>
      <c r="I70" t="s">
        <v>70</v>
      </c>
      <c r="J70" t="s">
        <v>98</v>
      </c>
      <c r="K70" t="s">
        <v>54</v>
      </c>
      <c r="L70" t="s">
        <v>57</v>
      </c>
      <c r="M70" t="s">
        <v>51</v>
      </c>
      <c r="N70" t="s">
        <v>57</v>
      </c>
      <c r="O70" t="s">
        <v>85</v>
      </c>
      <c r="P70" t="s">
        <v>55</v>
      </c>
      <c r="Q70" t="s">
        <v>73</v>
      </c>
      <c r="R70" t="s">
        <v>55</v>
      </c>
      <c r="S70" t="s">
        <v>57</v>
      </c>
      <c r="T70" t="s">
        <v>55</v>
      </c>
      <c r="U70" t="s">
        <v>55</v>
      </c>
      <c r="V70" t="s">
        <v>73</v>
      </c>
      <c r="W70" t="s">
        <v>58</v>
      </c>
      <c r="X70" t="s">
        <v>55</v>
      </c>
      <c r="Y70" t="s">
        <v>57</v>
      </c>
      <c r="Z70" t="s">
        <v>55</v>
      </c>
      <c r="AA70" t="s">
        <v>57</v>
      </c>
      <c r="AB70" t="s">
        <v>55</v>
      </c>
      <c r="AC70" t="s">
        <v>55</v>
      </c>
      <c r="AD70" t="s">
        <v>57</v>
      </c>
      <c r="AE70" t="s">
        <v>57</v>
      </c>
      <c r="AF70" t="s">
        <v>60</v>
      </c>
      <c r="AG70" t="s">
        <v>57</v>
      </c>
      <c r="AH70" t="s">
        <v>61</v>
      </c>
      <c r="AI70" t="s">
        <v>55</v>
      </c>
      <c r="AJ70" t="s">
        <v>57</v>
      </c>
      <c r="AK70" t="s">
        <v>55</v>
      </c>
      <c r="AL70" t="s">
        <v>59</v>
      </c>
      <c r="AM70" t="s">
        <v>57</v>
      </c>
      <c r="AN70" t="s">
        <v>62</v>
      </c>
      <c r="AO70" t="s">
        <v>57</v>
      </c>
      <c r="AP70" t="s">
        <v>55</v>
      </c>
      <c r="AQ70" t="s">
        <v>58</v>
      </c>
      <c r="AR70" t="s">
        <v>57</v>
      </c>
      <c r="AT70" t="str">
        <f t="shared" si="28"/>
        <v>zdecydowanie nie</v>
      </c>
      <c r="AU70" t="str">
        <f t="shared" si="29"/>
        <v>od 150 do 169 godzin</v>
      </c>
      <c r="AV70">
        <f t="shared" si="30"/>
        <v>169</v>
      </c>
      <c r="AW70">
        <f t="shared" si="31"/>
        <v>-2</v>
      </c>
    </row>
    <row r="71" spans="1:53" x14ac:dyDescent="0.2">
      <c r="A71" t="s">
        <v>176</v>
      </c>
      <c r="B71" t="s">
        <v>45</v>
      </c>
      <c r="C71" t="s">
        <v>46</v>
      </c>
      <c r="D71" t="s">
        <v>121</v>
      </c>
      <c r="E71" t="s">
        <v>113</v>
      </c>
      <c r="F71" t="s">
        <v>49</v>
      </c>
      <c r="G71" t="s">
        <v>89</v>
      </c>
      <c r="H71" t="s">
        <v>90</v>
      </c>
      <c r="I71" t="s">
        <v>70</v>
      </c>
      <c r="J71" t="s">
        <v>98</v>
      </c>
      <c r="K71" t="s">
        <v>80</v>
      </c>
      <c r="L71" t="s">
        <v>58</v>
      </c>
      <c r="M71" t="s">
        <v>132</v>
      </c>
      <c r="N71" t="s">
        <v>57</v>
      </c>
      <c r="O71" t="s">
        <v>73</v>
      </c>
      <c r="P71" t="s">
        <v>55</v>
      </c>
      <c r="Q71" t="s">
        <v>55</v>
      </c>
      <c r="R71" t="s">
        <v>55</v>
      </c>
      <c r="S71" t="s">
        <v>73</v>
      </c>
      <c r="T71" t="s">
        <v>57</v>
      </c>
      <c r="U71" t="s">
        <v>57</v>
      </c>
      <c r="V71" t="s">
        <v>58</v>
      </c>
      <c r="W71" t="s">
        <v>55</v>
      </c>
      <c r="X71" t="s">
        <v>57</v>
      </c>
      <c r="Y71" t="s">
        <v>57</v>
      </c>
      <c r="Z71" t="s">
        <v>59</v>
      </c>
      <c r="AA71" t="s">
        <v>57</v>
      </c>
      <c r="AB71" t="s">
        <v>57</v>
      </c>
      <c r="AC71" t="s">
        <v>73</v>
      </c>
      <c r="AD71" t="s">
        <v>58</v>
      </c>
      <c r="AE71" t="s">
        <v>58</v>
      </c>
      <c r="AF71" t="s">
        <v>60</v>
      </c>
      <c r="AG71" t="s">
        <v>57</v>
      </c>
      <c r="AH71" t="s">
        <v>61</v>
      </c>
      <c r="AI71" t="s">
        <v>59</v>
      </c>
      <c r="AJ71" t="s">
        <v>59</v>
      </c>
      <c r="AK71" t="s">
        <v>59</v>
      </c>
      <c r="AL71" t="s">
        <v>57</v>
      </c>
      <c r="AM71" t="s">
        <v>57</v>
      </c>
      <c r="AN71" t="s">
        <v>81</v>
      </c>
      <c r="AO71" t="s">
        <v>57</v>
      </c>
      <c r="AP71" t="s">
        <v>59</v>
      </c>
      <c r="AQ71" t="s">
        <v>58</v>
      </c>
      <c r="AR71" t="s">
        <v>58</v>
      </c>
      <c r="AT71" t="str">
        <f t="shared" si="28"/>
        <v>raczej tak</v>
      </c>
      <c r="AU71" t="str">
        <f t="shared" si="29"/>
        <v>od 150 do 169 godzin</v>
      </c>
      <c r="AV71">
        <f t="shared" si="30"/>
        <v>169</v>
      </c>
      <c r="AW71">
        <f t="shared" si="31"/>
        <v>1</v>
      </c>
    </row>
    <row r="72" spans="1:53" x14ac:dyDescent="0.2">
      <c r="A72" t="s">
        <v>186</v>
      </c>
      <c r="B72" t="s">
        <v>45</v>
      </c>
      <c r="C72" t="s">
        <v>46</v>
      </c>
      <c r="D72" t="s">
        <v>88</v>
      </c>
      <c r="E72" t="s">
        <v>103</v>
      </c>
      <c r="F72" t="s">
        <v>49</v>
      </c>
      <c r="G72" t="s">
        <v>68</v>
      </c>
      <c r="H72" t="s">
        <v>90</v>
      </c>
      <c r="I72" t="s">
        <v>70</v>
      </c>
      <c r="J72" t="s">
        <v>98</v>
      </c>
      <c r="K72" t="s">
        <v>54</v>
      </c>
      <c r="L72" t="s">
        <v>55</v>
      </c>
      <c r="M72" t="s">
        <v>132</v>
      </c>
      <c r="N72" t="s">
        <v>85</v>
      </c>
      <c r="O72" t="s">
        <v>57</v>
      </c>
      <c r="P72" t="s">
        <v>59</v>
      </c>
      <c r="Q72" t="s">
        <v>58</v>
      </c>
      <c r="R72" t="s">
        <v>57</v>
      </c>
      <c r="S72" t="s">
        <v>55</v>
      </c>
      <c r="T72" t="s">
        <v>59</v>
      </c>
      <c r="U72" t="s">
        <v>58</v>
      </c>
      <c r="V72" t="s">
        <v>57</v>
      </c>
      <c r="W72" t="s">
        <v>58</v>
      </c>
      <c r="X72" t="s">
        <v>59</v>
      </c>
      <c r="Y72" t="s">
        <v>57</v>
      </c>
      <c r="Z72" t="s">
        <v>55</v>
      </c>
      <c r="AA72" t="s">
        <v>55</v>
      </c>
      <c r="AB72" t="s">
        <v>58</v>
      </c>
      <c r="AC72" t="s">
        <v>58</v>
      </c>
      <c r="AD72" t="s">
        <v>55</v>
      </c>
      <c r="AE72" t="s">
        <v>57</v>
      </c>
      <c r="AF72" t="s">
        <v>60</v>
      </c>
      <c r="AG72" t="s">
        <v>57</v>
      </c>
      <c r="AH72" t="s">
        <v>61</v>
      </c>
      <c r="AI72" t="s">
        <v>55</v>
      </c>
      <c r="AJ72" t="s">
        <v>55</v>
      </c>
      <c r="AK72" t="s">
        <v>55</v>
      </c>
      <c r="AL72" t="s">
        <v>57</v>
      </c>
      <c r="AM72" t="s">
        <v>55</v>
      </c>
      <c r="AN72" t="s">
        <v>81</v>
      </c>
      <c r="AO72" t="s">
        <v>57</v>
      </c>
      <c r="AP72" t="s">
        <v>57</v>
      </c>
      <c r="AQ72" t="s">
        <v>57</v>
      </c>
      <c r="AR72" t="s">
        <v>55</v>
      </c>
      <c r="AT72" t="str">
        <f t="shared" si="28"/>
        <v>raczej tak</v>
      </c>
      <c r="AU72" t="str">
        <f t="shared" si="29"/>
        <v>od 150 do 169 godzin</v>
      </c>
      <c r="AV72">
        <f t="shared" si="30"/>
        <v>169</v>
      </c>
      <c r="AW72">
        <f t="shared" si="31"/>
        <v>1</v>
      </c>
    </row>
    <row r="73" spans="1:53" x14ac:dyDescent="0.2">
      <c r="A73" t="s">
        <v>190</v>
      </c>
      <c r="B73" t="s">
        <v>45</v>
      </c>
      <c r="C73" t="s">
        <v>46</v>
      </c>
      <c r="D73" t="s">
        <v>123</v>
      </c>
      <c r="E73" t="s">
        <v>191</v>
      </c>
      <c r="F73" t="s">
        <v>77</v>
      </c>
      <c r="G73" t="s">
        <v>68</v>
      </c>
      <c r="H73" t="s">
        <v>90</v>
      </c>
      <c r="I73" t="s">
        <v>70</v>
      </c>
      <c r="J73" t="s">
        <v>98</v>
      </c>
      <c r="K73" t="s">
        <v>80</v>
      </c>
      <c r="L73" t="s">
        <v>57</v>
      </c>
      <c r="M73" t="s">
        <v>56</v>
      </c>
      <c r="N73" t="s">
        <v>73</v>
      </c>
      <c r="O73" t="s">
        <v>57</v>
      </c>
      <c r="P73" t="s">
        <v>55</v>
      </c>
      <c r="Q73" t="s">
        <v>57</v>
      </c>
      <c r="R73" t="s">
        <v>55</v>
      </c>
      <c r="S73" t="s">
        <v>57</v>
      </c>
      <c r="T73" t="s">
        <v>55</v>
      </c>
      <c r="U73" t="s">
        <v>59</v>
      </c>
      <c r="V73" t="s">
        <v>55</v>
      </c>
      <c r="W73" t="s">
        <v>59</v>
      </c>
      <c r="X73" t="s">
        <v>55</v>
      </c>
      <c r="Y73" t="s">
        <v>57</v>
      </c>
      <c r="Z73" t="s">
        <v>58</v>
      </c>
      <c r="AA73" t="s">
        <v>73</v>
      </c>
      <c r="AB73" t="s">
        <v>55</v>
      </c>
      <c r="AC73" t="s">
        <v>58</v>
      </c>
      <c r="AD73" t="s">
        <v>57</v>
      </c>
      <c r="AE73" t="s">
        <v>57</v>
      </c>
      <c r="AF73" t="s">
        <v>60</v>
      </c>
      <c r="AG73" t="s">
        <v>55</v>
      </c>
      <c r="AH73" t="s">
        <v>61</v>
      </c>
      <c r="AI73" t="s">
        <v>73</v>
      </c>
      <c r="AJ73" t="s">
        <v>58</v>
      </c>
      <c r="AK73" t="s">
        <v>73</v>
      </c>
      <c r="AL73" t="s">
        <v>57</v>
      </c>
      <c r="AM73" t="s">
        <v>57</v>
      </c>
      <c r="AN73" t="s">
        <v>101</v>
      </c>
      <c r="AO73" t="s">
        <v>55</v>
      </c>
      <c r="AP73" t="s">
        <v>55</v>
      </c>
      <c r="AQ73" t="s">
        <v>73</v>
      </c>
      <c r="AR73" t="s">
        <v>55</v>
      </c>
      <c r="AT73" t="str">
        <f t="shared" si="28"/>
        <v>raczej tak</v>
      </c>
      <c r="AU73" t="str">
        <f t="shared" si="29"/>
        <v>od 150 do 169 godzin</v>
      </c>
      <c r="AV73">
        <f t="shared" si="30"/>
        <v>169</v>
      </c>
      <c r="AW73">
        <f t="shared" si="31"/>
        <v>1</v>
      </c>
    </row>
    <row r="74" spans="1:53" x14ac:dyDescent="0.2">
      <c r="A74" t="s">
        <v>192</v>
      </c>
      <c r="B74" t="s">
        <v>45</v>
      </c>
      <c r="C74" t="s">
        <v>46</v>
      </c>
      <c r="D74" t="s">
        <v>88</v>
      </c>
      <c r="E74" t="s">
        <v>126</v>
      </c>
      <c r="F74" t="s">
        <v>92</v>
      </c>
      <c r="G74" t="s">
        <v>68</v>
      </c>
      <c r="H74" t="s">
        <v>90</v>
      </c>
      <c r="I74" t="s">
        <v>70</v>
      </c>
      <c r="J74" t="s">
        <v>98</v>
      </c>
      <c r="K74" t="s">
        <v>80</v>
      </c>
      <c r="L74" t="s">
        <v>57</v>
      </c>
      <c r="M74" t="s">
        <v>51</v>
      </c>
      <c r="N74" t="s">
        <v>73</v>
      </c>
      <c r="O74" t="s">
        <v>85</v>
      </c>
      <c r="P74" t="s">
        <v>55</v>
      </c>
      <c r="Q74" t="s">
        <v>57</v>
      </c>
      <c r="R74" t="s">
        <v>55</v>
      </c>
      <c r="S74" t="s">
        <v>55</v>
      </c>
      <c r="T74" t="s">
        <v>57</v>
      </c>
      <c r="U74" t="s">
        <v>55</v>
      </c>
      <c r="V74" t="s">
        <v>58</v>
      </c>
      <c r="W74" t="s">
        <v>58</v>
      </c>
      <c r="X74" t="s">
        <v>55</v>
      </c>
      <c r="Y74" t="s">
        <v>59</v>
      </c>
      <c r="Z74" t="s">
        <v>58</v>
      </c>
      <c r="AA74" t="s">
        <v>58</v>
      </c>
      <c r="AB74" t="s">
        <v>58</v>
      </c>
      <c r="AC74" t="s">
        <v>58</v>
      </c>
      <c r="AD74" t="s">
        <v>73</v>
      </c>
      <c r="AE74" t="s">
        <v>55</v>
      </c>
      <c r="AF74" t="s">
        <v>60</v>
      </c>
      <c r="AG74" t="s">
        <v>57</v>
      </c>
      <c r="AH74" t="s">
        <v>61</v>
      </c>
      <c r="AI74" t="s">
        <v>55</v>
      </c>
      <c r="AJ74" t="s">
        <v>55</v>
      </c>
      <c r="AK74" t="s">
        <v>57</v>
      </c>
      <c r="AL74" t="s">
        <v>58</v>
      </c>
      <c r="AM74" t="s">
        <v>59</v>
      </c>
      <c r="AN74" t="s">
        <v>193</v>
      </c>
      <c r="AO74" t="s">
        <v>73</v>
      </c>
      <c r="AP74" t="s">
        <v>57</v>
      </c>
      <c r="AQ74" t="s">
        <v>55</v>
      </c>
      <c r="AR74" t="s">
        <v>59</v>
      </c>
      <c r="AT74" t="str">
        <f t="shared" si="28"/>
        <v>zdecydowanie tak</v>
      </c>
      <c r="AU74" t="str">
        <f t="shared" si="29"/>
        <v>od 150 do 169 godzin</v>
      </c>
      <c r="AV74">
        <f t="shared" si="30"/>
        <v>169</v>
      </c>
      <c r="AW74">
        <f t="shared" si="31"/>
        <v>2</v>
      </c>
    </row>
    <row r="75" spans="1:53" x14ac:dyDescent="0.2">
      <c r="A75" t="s">
        <v>194</v>
      </c>
      <c r="B75" t="s">
        <v>45</v>
      </c>
      <c r="C75" t="s">
        <v>46</v>
      </c>
      <c r="D75" t="s">
        <v>88</v>
      </c>
      <c r="E75" t="s">
        <v>126</v>
      </c>
      <c r="F75" t="s">
        <v>49</v>
      </c>
      <c r="G75" t="s">
        <v>89</v>
      </c>
      <c r="H75" t="s">
        <v>90</v>
      </c>
      <c r="I75" t="s">
        <v>70</v>
      </c>
      <c r="J75" t="s">
        <v>98</v>
      </c>
      <c r="K75" t="s">
        <v>54</v>
      </c>
      <c r="L75" t="s">
        <v>57</v>
      </c>
      <c r="M75" t="s">
        <v>132</v>
      </c>
      <c r="N75" t="s">
        <v>59</v>
      </c>
      <c r="O75" t="s">
        <v>85</v>
      </c>
      <c r="P75" t="s">
        <v>59</v>
      </c>
      <c r="Q75" t="s">
        <v>55</v>
      </c>
      <c r="R75" t="s">
        <v>55</v>
      </c>
      <c r="S75" t="s">
        <v>73</v>
      </c>
      <c r="T75" t="s">
        <v>59</v>
      </c>
      <c r="U75" t="s">
        <v>55</v>
      </c>
      <c r="V75" t="s">
        <v>58</v>
      </c>
      <c r="W75" t="s">
        <v>57</v>
      </c>
      <c r="X75" t="s">
        <v>55</v>
      </c>
      <c r="Y75" t="s">
        <v>59</v>
      </c>
      <c r="Z75" t="s">
        <v>57</v>
      </c>
      <c r="AA75" t="s">
        <v>73</v>
      </c>
      <c r="AB75" t="s">
        <v>57</v>
      </c>
      <c r="AC75" t="s">
        <v>59</v>
      </c>
      <c r="AD75" t="s">
        <v>73</v>
      </c>
      <c r="AE75" t="s">
        <v>55</v>
      </c>
      <c r="AF75" t="s">
        <v>60</v>
      </c>
      <c r="AG75" t="s">
        <v>55</v>
      </c>
      <c r="AH75" t="s">
        <v>61</v>
      </c>
      <c r="AI75" t="s">
        <v>59</v>
      </c>
      <c r="AJ75" t="s">
        <v>55</v>
      </c>
      <c r="AK75" t="s">
        <v>59</v>
      </c>
      <c r="AL75" t="s">
        <v>57</v>
      </c>
      <c r="AM75" t="s">
        <v>55</v>
      </c>
      <c r="AN75" t="s">
        <v>62</v>
      </c>
      <c r="AO75" t="s">
        <v>73</v>
      </c>
      <c r="AP75" t="s">
        <v>73</v>
      </c>
      <c r="AQ75" t="s">
        <v>57</v>
      </c>
      <c r="AR75" t="s">
        <v>57</v>
      </c>
      <c r="AT75" t="str">
        <f t="shared" si="28"/>
        <v>raczej tak</v>
      </c>
      <c r="AU75" t="str">
        <f t="shared" si="29"/>
        <v>od 150 do 169 godzin</v>
      </c>
      <c r="AV75">
        <f t="shared" si="30"/>
        <v>169</v>
      </c>
      <c r="AW75">
        <f t="shared" si="31"/>
        <v>1</v>
      </c>
    </row>
    <row r="76" spans="1:53" x14ac:dyDescent="0.2">
      <c r="A76" t="s">
        <v>196</v>
      </c>
      <c r="B76" t="s">
        <v>45</v>
      </c>
      <c r="C76" t="s">
        <v>46</v>
      </c>
      <c r="D76" t="s">
        <v>47</v>
      </c>
      <c r="E76" t="s">
        <v>103</v>
      </c>
      <c r="F76" t="s">
        <v>49</v>
      </c>
      <c r="G76" t="s">
        <v>97</v>
      </c>
      <c r="H76" t="s">
        <v>90</v>
      </c>
      <c r="I76" t="s">
        <v>70</v>
      </c>
      <c r="J76" t="s">
        <v>98</v>
      </c>
      <c r="K76" t="s">
        <v>71</v>
      </c>
      <c r="L76" t="s">
        <v>58</v>
      </c>
      <c r="M76" t="s">
        <v>51</v>
      </c>
      <c r="N76" t="s">
        <v>57</v>
      </c>
      <c r="O76" t="s">
        <v>73</v>
      </c>
      <c r="P76" t="s">
        <v>59</v>
      </c>
      <c r="Q76" t="s">
        <v>59</v>
      </c>
      <c r="R76" t="s">
        <v>59</v>
      </c>
      <c r="S76" t="s">
        <v>73</v>
      </c>
      <c r="T76" t="s">
        <v>59</v>
      </c>
      <c r="U76" t="s">
        <v>59</v>
      </c>
      <c r="V76" t="s">
        <v>57</v>
      </c>
      <c r="W76" t="s">
        <v>57</v>
      </c>
      <c r="X76" t="s">
        <v>59</v>
      </c>
      <c r="Y76" t="s">
        <v>59</v>
      </c>
      <c r="Z76" t="s">
        <v>57</v>
      </c>
      <c r="AA76" t="s">
        <v>57</v>
      </c>
      <c r="AB76" t="s">
        <v>57</v>
      </c>
      <c r="AC76" t="s">
        <v>73</v>
      </c>
      <c r="AD76" t="s">
        <v>55</v>
      </c>
      <c r="AE76" t="s">
        <v>57</v>
      </c>
      <c r="AF76" t="s">
        <v>60</v>
      </c>
      <c r="AG76" t="s">
        <v>57</v>
      </c>
      <c r="AH76" t="s">
        <v>61</v>
      </c>
      <c r="AI76" t="s">
        <v>57</v>
      </c>
      <c r="AJ76" t="s">
        <v>55</v>
      </c>
      <c r="AK76" t="s">
        <v>55</v>
      </c>
      <c r="AL76" t="s">
        <v>57</v>
      </c>
      <c r="AM76" t="s">
        <v>58</v>
      </c>
      <c r="AN76" t="s">
        <v>81</v>
      </c>
      <c r="AO76" t="s">
        <v>57</v>
      </c>
      <c r="AP76" t="s">
        <v>55</v>
      </c>
      <c r="AQ76" t="s">
        <v>57</v>
      </c>
      <c r="AR76" t="s">
        <v>57</v>
      </c>
      <c r="AT76" t="str">
        <f t="shared" si="28"/>
        <v>raczej tak</v>
      </c>
      <c r="AU76" t="str">
        <f t="shared" si="29"/>
        <v>od 150 do 169 godzin</v>
      </c>
      <c r="AV76">
        <f t="shared" si="30"/>
        <v>169</v>
      </c>
      <c r="AW76">
        <f t="shared" si="31"/>
        <v>1</v>
      </c>
    </row>
    <row r="77" spans="1:53" x14ac:dyDescent="0.2">
      <c r="A77" t="s">
        <v>202</v>
      </c>
      <c r="B77" t="s">
        <v>45</v>
      </c>
      <c r="C77" t="s">
        <v>46</v>
      </c>
      <c r="D77" t="s">
        <v>47</v>
      </c>
      <c r="E77" t="s">
        <v>103</v>
      </c>
      <c r="F77" t="s">
        <v>49</v>
      </c>
      <c r="G77" t="s">
        <v>97</v>
      </c>
      <c r="H77" t="s">
        <v>90</v>
      </c>
      <c r="I77" t="s">
        <v>70</v>
      </c>
      <c r="J77" t="s">
        <v>98</v>
      </c>
      <c r="K77" t="s">
        <v>80</v>
      </c>
      <c r="L77" t="s">
        <v>73</v>
      </c>
      <c r="M77" t="s">
        <v>51</v>
      </c>
      <c r="N77" t="s">
        <v>85</v>
      </c>
      <c r="O77" t="s">
        <v>85</v>
      </c>
      <c r="P77" t="s">
        <v>55</v>
      </c>
      <c r="Q77" t="s">
        <v>57</v>
      </c>
      <c r="R77" t="s">
        <v>57</v>
      </c>
      <c r="S77" t="s">
        <v>55</v>
      </c>
      <c r="T77" t="s">
        <v>55</v>
      </c>
      <c r="U77" t="s">
        <v>57</v>
      </c>
      <c r="V77" t="s">
        <v>57</v>
      </c>
      <c r="W77" t="s">
        <v>55</v>
      </c>
      <c r="X77" t="s">
        <v>57</v>
      </c>
      <c r="Y77" t="s">
        <v>57</v>
      </c>
      <c r="Z77" t="s">
        <v>55</v>
      </c>
      <c r="AA77" t="s">
        <v>55</v>
      </c>
      <c r="AB77" t="s">
        <v>57</v>
      </c>
      <c r="AC77" t="s">
        <v>55</v>
      </c>
      <c r="AD77" t="s">
        <v>55</v>
      </c>
      <c r="AE77" t="s">
        <v>57</v>
      </c>
      <c r="AF77" t="s">
        <v>60</v>
      </c>
      <c r="AG77" t="s">
        <v>57</v>
      </c>
      <c r="AH77" t="s">
        <v>61</v>
      </c>
      <c r="AI77" t="s">
        <v>55</v>
      </c>
      <c r="AJ77" t="s">
        <v>59</v>
      </c>
      <c r="AK77" t="s">
        <v>55</v>
      </c>
      <c r="AL77" t="s">
        <v>57</v>
      </c>
      <c r="AM77" t="s">
        <v>57</v>
      </c>
      <c r="AN77" t="s">
        <v>81</v>
      </c>
      <c r="AO77" t="s">
        <v>73</v>
      </c>
      <c r="AP77" t="s">
        <v>55</v>
      </c>
      <c r="AQ77" t="s">
        <v>55</v>
      </c>
      <c r="AR77" t="s">
        <v>55</v>
      </c>
      <c r="AT77" t="str">
        <f t="shared" si="28"/>
        <v>raczej tak</v>
      </c>
      <c r="AU77" t="str">
        <f t="shared" si="29"/>
        <v>od 150 do 169 godzin</v>
      </c>
      <c r="AV77">
        <f t="shared" si="30"/>
        <v>169</v>
      </c>
      <c r="AW77">
        <f t="shared" si="31"/>
        <v>1</v>
      </c>
    </row>
    <row r="78" spans="1:53" x14ac:dyDescent="0.2">
      <c r="A78" t="s">
        <v>203</v>
      </c>
      <c r="B78" t="s">
        <v>45</v>
      </c>
      <c r="C78" t="s">
        <v>46</v>
      </c>
      <c r="D78" t="s">
        <v>121</v>
      </c>
      <c r="E78" t="s">
        <v>103</v>
      </c>
      <c r="F78" t="s">
        <v>49</v>
      </c>
      <c r="G78" t="s">
        <v>97</v>
      </c>
      <c r="H78" t="s">
        <v>90</v>
      </c>
      <c r="I78" t="s">
        <v>70</v>
      </c>
      <c r="J78" t="s">
        <v>98</v>
      </c>
      <c r="K78" t="s">
        <v>71</v>
      </c>
      <c r="L78" t="s">
        <v>58</v>
      </c>
      <c r="M78" t="s">
        <v>99</v>
      </c>
      <c r="N78" t="s">
        <v>59</v>
      </c>
      <c r="O78" t="s">
        <v>58</v>
      </c>
      <c r="P78" t="s">
        <v>59</v>
      </c>
      <c r="Q78" t="s">
        <v>58</v>
      </c>
      <c r="R78" t="s">
        <v>59</v>
      </c>
      <c r="S78" t="s">
        <v>55</v>
      </c>
      <c r="T78" t="s">
        <v>57</v>
      </c>
      <c r="U78" t="s">
        <v>73</v>
      </c>
      <c r="V78" t="s">
        <v>58</v>
      </c>
      <c r="W78" t="s">
        <v>57</v>
      </c>
      <c r="X78" t="s">
        <v>59</v>
      </c>
      <c r="Y78" t="s">
        <v>59</v>
      </c>
      <c r="Z78" t="s">
        <v>58</v>
      </c>
      <c r="AA78" t="s">
        <v>55</v>
      </c>
      <c r="AB78" t="s">
        <v>58</v>
      </c>
      <c r="AC78" t="s">
        <v>55</v>
      </c>
      <c r="AD78" t="s">
        <v>58</v>
      </c>
      <c r="AE78" t="s">
        <v>58</v>
      </c>
      <c r="AF78" t="s">
        <v>60</v>
      </c>
      <c r="AG78" t="s">
        <v>57</v>
      </c>
      <c r="AH78" t="s">
        <v>61</v>
      </c>
      <c r="AI78" t="s">
        <v>55</v>
      </c>
      <c r="AJ78" t="s">
        <v>55</v>
      </c>
      <c r="AK78" t="s">
        <v>57</v>
      </c>
      <c r="AL78" t="s">
        <v>57</v>
      </c>
      <c r="AM78" t="s">
        <v>58</v>
      </c>
      <c r="AN78" t="s">
        <v>62</v>
      </c>
      <c r="AO78" t="s">
        <v>58</v>
      </c>
      <c r="AP78" t="s">
        <v>55</v>
      </c>
      <c r="AQ78" t="s">
        <v>57</v>
      </c>
      <c r="AR78" t="s">
        <v>59</v>
      </c>
      <c r="AT78" t="str">
        <f t="shared" si="28"/>
        <v>raczej tak</v>
      </c>
      <c r="AU78" t="str">
        <f t="shared" si="29"/>
        <v>od 150 do 169 godzin</v>
      </c>
      <c r="AV78">
        <f t="shared" si="30"/>
        <v>169</v>
      </c>
      <c r="AW78">
        <f t="shared" si="31"/>
        <v>1</v>
      </c>
    </row>
    <row r="79" spans="1:53" x14ac:dyDescent="0.2">
      <c r="A79" t="s">
        <v>207</v>
      </c>
      <c r="B79" t="s">
        <v>45</v>
      </c>
      <c r="C79" t="s">
        <v>46</v>
      </c>
      <c r="D79" t="s">
        <v>47</v>
      </c>
      <c r="E79" t="s">
        <v>83</v>
      </c>
      <c r="F79" t="s">
        <v>49</v>
      </c>
      <c r="G79" t="s">
        <v>50</v>
      </c>
      <c r="H79" t="s">
        <v>90</v>
      </c>
      <c r="I79" t="s">
        <v>114</v>
      </c>
      <c r="J79" t="s">
        <v>98</v>
      </c>
      <c r="K79" t="s">
        <v>80</v>
      </c>
      <c r="L79" t="s">
        <v>57</v>
      </c>
      <c r="M79" t="s">
        <v>99</v>
      </c>
      <c r="N79" t="s">
        <v>59</v>
      </c>
      <c r="O79" t="s">
        <v>57</v>
      </c>
      <c r="P79" t="s">
        <v>59</v>
      </c>
      <c r="Q79" t="s">
        <v>58</v>
      </c>
      <c r="R79" t="s">
        <v>73</v>
      </c>
      <c r="S79" t="s">
        <v>57</v>
      </c>
      <c r="T79" t="s">
        <v>59</v>
      </c>
      <c r="U79" t="s">
        <v>59</v>
      </c>
      <c r="V79" t="s">
        <v>57</v>
      </c>
      <c r="W79" t="s">
        <v>57</v>
      </c>
      <c r="X79" t="s">
        <v>58</v>
      </c>
      <c r="Y79" t="s">
        <v>55</v>
      </c>
      <c r="Z79" t="s">
        <v>57</v>
      </c>
      <c r="AA79" t="s">
        <v>57</v>
      </c>
      <c r="AB79" t="s">
        <v>55</v>
      </c>
      <c r="AC79" t="s">
        <v>57</v>
      </c>
      <c r="AD79" t="s">
        <v>57</v>
      </c>
      <c r="AE79" t="s">
        <v>58</v>
      </c>
      <c r="AF79" t="s">
        <v>60</v>
      </c>
      <c r="AG79" t="s">
        <v>55</v>
      </c>
      <c r="AH79" t="s">
        <v>61</v>
      </c>
      <c r="AI79" t="s">
        <v>58</v>
      </c>
      <c r="AJ79" t="s">
        <v>57</v>
      </c>
      <c r="AK79" t="s">
        <v>59</v>
      </c>
      <c r="AL79" t="s">
        <v>57</v>
      </c>
      <c r="AM79" t="s">
        <v>55</v>
      </c>
      <c r="AN79" t="s">
        <v>62</v>
      </c>
      <c r="AO79" t="s">
        <v>57</v>
      </c>
      <c r="AP79" t="s">
        <v>55</v>
      </c>
      <c r="AQ79" t="s">
        <v>57</v>
      </c>
      <c r="AR79" t="s">
        <v>58</v>
      </c>
      <c r="AT79" t="str">
        <f t="shared" si="28"/>
        <v>raczej tak</v>
      </c>
      <c r="AU79" t="str">
        <f t="shared" si="29"/>
        <v>od 150 do 169 godzin</v>
      </c>
      <c r="AV79">
        <f t="shared" si="30"/>
        <v>169</v>
      </c>
      <c r="AW79">
        <f t="shared" si="31"/>
        <v>1</v>
      </c>
    </row>
    <row r="80" spans="1:53" x14ac:dyDescent="0.2">
      <c r="A80" t="s">
        <v>211</v>
      </c>
      <c r="B80" t="s">
        <v>45</v>
      </c>
      <c r="C80" t="s">
        <v>46</v>
      </c>
      <c r="D80" t="s">
        <v>121</v>
      </c>
      <c r="E80" t="s">
        <v>103</v>
      </c>
      <c r="F80" t="s">
        <v>92</v>
      </c>
      <c r="G80" t="s">
        <v>50</v>
      </c>
      <c r="H80" t="s">
        <v>90</v>
      </c>
      <c r="I80" t="s">
        <v>70</v>
      </c>
      <c r="J80" t="s">
        <v>98</v>
      </c>
      <c r="K80" t="s">
        <v>54</v>
      </c>
      <c r="L80" t="s">
        <v>57</v>
      </c>
      <c r="M80" t="s">
        <v>51</v>
      </c>
      <c r="N80" t="s">
        <v>57</v>
      </c>
      <c r="O80" t="s">
        <v>73</v>
      </c>
      <c r="P80" t="s">
        <v>59</v>
      </c>
      <c r="Q80" t="s">
        <v>55</v>
      </c>
      <c r="R80" t="s">
        <v>57</v>
      </c>
      <c r="S80" t="s">
        <v>55</v>
      </c>
      <c r="T80" t="s">
        <v>59</v>
      </c>
      <c r="U80" t="s">
        <v>59</v>
      </c>
      <c r="V80" t="s">
        <v>58</v>
      </c>
      <c r="W80" t="s">
        <v>58</v>
      </c>
      <c r="X80" t="s">
        <v>59</v>
      </c>
      <c r="Y80" t="s">
        <v>59</v>
      </c>
      <c r="Z80" t="s">
        <v>59</v>
      </c>
      <c r="AA80" t="s">
        <v>58</v>
      </c>
      <c r="AB80" t="s">
        <v>58</v>
      </c>
      <c r="AC80" t="s">
        <v>58</v>
      </c>
      <c r="AD80" t="s">
        <v>58</v>
      </c>
      <c r="AE80" t="s">
        <v>57</v>
      </c>
      <c r="AF80" t="s">
        <v>60</v>
      </c>
      <c r="AG80" t="s">
        <v>57</v>
      </c>
      <c r="AH80" t="s">
        <v>61</v>
      </c>
      <c r="AI80" t="s">
        <v>59</v>
      </c>
      <c r="AJ80" t="s">
        <v>59</v>
      </c>
      <c r="AK80" t="s">
        <v>59</v>
      </c>
      <c r="AL80" t="s">
        <v>55</v>
      </c>
      <c r="AM80" t="s">
        <v>57</v>
      </c>
      <c r="AN80" t="s">
        <v>62</v>
      </c>
      <c r="AO80" t="s">
        <v>73</v>
      </c>
      <c r="AP80" t="s">
        <v>57</v>
      </c>
      <c r="AQ80" t="s">
        <v>73</v>
      </c>
      <c r="AR80" t="s">
        <v>73</v>
      </c>
      <c r="AT80" t="str">
        <f t="shared" si="28"/>
        <v>raczej nie</v>
      </c>
      <c r="AU80" t="str">
        <f t="shared" si="29"/>
        <v>od 150 do 169 godzin</v>
      </c>
      <c r="AV80">
        <f t="shared" si="30"/>
        <v>169</v>
      </c>
      <c r="AW80">
        <f t="shared" si="31"/>
        <v>-1</v>
      </c>
    </row>
    <row r="81" spans="1:49" x14ac:dyDescent="0.2">
      <c r="A81" t="s">
        <v>212</v>
      </c>
      <c r="B81" t="s">
        <v>45</v>
      </c>
      <c r="C81" t="s">
        <v>46</v>
      </c>
      <c r="D81" t="s">
        <v>47</v>
      </c>
      <c r="E81" t="s">
        <v>113</v>
      </c>
      <c r="F81" t="s">
        <v>49</v>
      </c>
      <c r="G81" t="s">
        <v>68</v>
      </c>
      <c r="H81" t="s">
        <v>90</v>
      </c>
      <c r="I81" t="s">
        <v>70</v>
      </c>
      <c r="J81" t="s">
        <v>98</v>
      </c>
      <c r="K81" t="s">
        <v>71</v>
      </c>
      <c r="L81" t="s">
        <v>57</v>
      </c>
      <c r="M81" t="s">
        <v>132</v>
      </c>
      <c r="N81" t="s">
        <v>57</v>
      </c>
      <c r="O81" t="s">
        <v>85</v>
      </c>
      <c r="P81" t="s">
        <v>57</v>
      </c>
      <c r="Q81" t="s">
        <v>57</v>
      </c>
      <c r="R81" t="s">
        <v>57</v>
      </c>
      <c r="S81" t="s">
        <v>57</v>
      </c>
      <c r="T81" t="s">
        <v>59</v>
      </c>
      <c r="U81" t="s">
        <v>55</v>
      </c>
      <c r="V81" t="s">
        <v>55</v>
      </c>
      <c r="W81" t="s">
        <v>57</v>
      </c>
      <c r="X81" t="s">
        <v>57</v>
      </c>
      <c r="Y81" t="s">
        <v>57</v>
      </c>
      <c r="Z81" t="s">
        <v>57</v>
      </c>
      <c r="AA81" t="s">
        <v>58</v>
      </c>
      <c r="AB81" t="s">
        <v>57</v>
      </c>
      <c r="AC81" t="s">
        <v>55</v>
      </c>
      <c r="AD81" t="s">
        <v>57</v>
      </c>
      <c r="AE81" t="s">
        <v>57</v>
      </c>
      <c r="AF81" t="s">
        <v>60</v>
      </c>
      <c r="AG81" t="s">
        <v>57</v>
      </c>
      <c r="AH81" t="s">
        <v>61</v>
      </c>
      <c r="AI81" t="s">
        <v>55</v>
      </c>
      <c r="AJ81" t="s">
        <v>57</v>
      </c>
      <c r="AK81" t="s">
        <v>55</v>
      </c>
      <c r="AL81" t="s">
        <v>57</v>
      </c>
      <c r="AM81" t="s">
        <v>57</v>
      </c>
      <c r="AN81" t="s">
        <v>62</v>
      </c>
      <c r="AO81" t="s">
        <v>57</v>
      </c>
      <c r="AP81" t="s">
        <v>55</v>
      </c>
      <c r="AQ81" t="s">
        <v>57</v>
      </c>
      <c r="AR81" t="s">
        <v>59</v>
      </c>
      <c r="AT81" t="str">
        <f t="shared" si="28"/>
        <v>raczej tak</v>
      </c>
      <c r="AU81" t="str">
        <f t="shared" si="29"/>
        <v>od 150 do 169 godzin</v>
      </c>
      <c r="AV81">
        <f t="shared" si="30"/>
        <v>169</v>
      </c>
      <c r="AW81">
        <f t="shared" si="31"/>
        <v>1</v>
      </c>
    </row>
    <row r="82" spans="1:49" x14ac:dyDescent="0.2">
      <c r="A82" t="s">
        <v>216</v>
      </c>
      <c r="B82" t="s">
        <v>45</v>
      </c>
      <c r="C82" t="s">
        <v>46</v>
      </c>
      <c r="D82" t="s">
        <v>47</v>
      </c>
      <c r="E82" t="s">
        <v>111</v>
      </c>
      <c r="F82" t="s">
        <v>49</v>
      </c>
      <c r="G82" t="s">
        <v>93</v>
      </c>
      <c r="H82" t="s">
        <v>90</v>
      </c>
      <c r="I82" t="s">
        <v>70</v>
      </c>
      <c r="J82" t="s">
        <v>98</v>
      </c>
      <c r="K82" t="s">
        <v>54</v>
      </c>
      <c r="L82" t="s">
        <v>57</v>
      </c>
      <c r="M82" t="s">
        <v>132</v>
      </c>
      <c r="N82" t="s">
        <v>57</v>
      </c>
      <c r="O82" t="s">
        <v>57</v>
      </c>
      <c r="P82" t="s">
        <v>59</v>
      </c>
      <c r="Q82" t="s">
        <v>57</v>
      </c>
      <c r="R82" t="s">
        <v>57</v>
      </c>
      <c r="S82" t="s">
        <v>73</v>
      </c>
      <c r="T82" t="s">
        <v>57</v>
      </c>
      <c r="U82" t="s">
        <v>57</v>
      </c>
      <c r="V82" t="s">
        <v>57</v>
      </c>
      <c r="W82" t="s">
        <v>57</v>
      </c>
      <c r="X82" t="s">
        <v>59</v>
      </c>
      <c r="Y82" t="s">
        <v>58</v>
      </c>
      <c r="Z82" t="s">
        <v>58</v>
      </c>
      <c r="AA82" t="s">
        <v>55</v>
      </c>
      <c r="AB82" t="s">
        <v>57</v>
      </c>
      <c r="AC82" t="s">
        <v>58</v>
      </c>
      <c r="AD82" t="s">
        <v>55</v>
      </c>
      <c r="AE82" t="s">
        <v>55</v>
      </c>
      <c r="AF82" t="s">
        <v>60</v>
      </c>
      <c r="AG82" t="s">
        <v>58</v>
      </c>
      <c r="AH82" t="s">
        <v>61</v>
      </c>
      <c r="AI82" t="s">
        <v>55</v>
      </c>
      <c r="AJ82" t="s">
        <v>55</v>
      </c>
      <c r="AK82" t="s">
        <v>55</v>
      </c>
      <c r="AL82" t="s">
        <v>58</v>
      </c>
      <c r="AM82" t="s">
        <v>57</v>
      </c>
      <c r="AN82" t="s">
        <v>81</v>
      </c>
      <c r="AO82" t="s">
        <v>73</v>
      </c>
      <c r="AP82" t="s">
        <v>57</v>
      </c>
      <c r="AQ82" t="s">
        <v>57</v>
      </c>
      <c r="AR82" t="s">
        <v>59</v>
      </c>
      <c r="AT82" t="str">
        <f t="shared" si="28"/>
        <v>zdecydowanie tak</v>
      </c>
      <c r="AU82" t="str">
        <f t="shared" si="29"/>
        <v>od 150 do 169 godzin</v>
      </c>
      <c r="AV82">
        <f t="shared" si="30"/>
        <v>169</v>
      </c>
      <c r="AW82">
        <f t="shared" si="31"/>
        <v>2</v>
      </c>
    </row>
    <row r="83" spans="1:49" x14ac:dyDescent="0.2">
      <c r="A83" t="s">
        <v>217</v>
      </c>
      <c r="B83" t="s">
        <v>45</v>
      </c>
      <c r="C83" t="s">
        <v>46</v>
      </c>
      <c r="D83" t="s">
        <v>88</v>
      </c>
      <c r="E83" t="s">
        <v>113</v>
      </c>
      <c r="F83" t="s">
        <v>77</v>
      </c>
      <c r="G83" t="s">
        <v>93</v>
      </c>
      <c r="H83" t="s">
        <v>90</v>
      </c>
      <c r="I83" t="s">
        <v>70</v>
      </c>
      <c r="J83" t="s">
        <v>98</v>
      </c>
      <c r="K83" t="s">
        <v>80</v>
      </c>
      <c r="L83" t="s">
        <v>58</v>
      </c>
      <c r="M83" t="s">
        <v>99</v>
      </c>
      <c r="N83" t="s">
        <v>57</v>
      </c>
      <c r="O83" t="s">
        <v>104</v>
      </c>
      <c r="P83" t="s">
        <v>57</v>
      </c>
      <c r="Q83" t="s">
        <v>59</v>
      </c>
      <c r="R83" t="s">
        <v>55</v>
      </c>
      <c r="S83" t="s">
        <v>57</v>
      </c>
      <c r="T83" t="s">
        <v>59</v>
      </c>
      <c r="U83" t="s">
        <v>59</v>
      </c>
      <c r="V83" t="s">
        <v>73</v>
      </c>
      <c r="W83" t="s">
        <v>57</v>
      </c>
      <c r="X83" t="s">
        <v>59</v>
      </c>
      <c r="Y83" t="s">
        <v>58</v>
      </c>
      <c r="Z83" t="s">
        <v>58</v>
      </c>
      <c r="AA83" t="s">
        <v>59</v>
      </c>
      <c r="AB83" t="s">
        <v>58</v>
      </c>
      <c r="AC83" t="s">
        <v>73</v>
      </c>
      <c r="AD83" t="s">
        <v>57</v>
      </c>
      <c r="AE83" t="s">
        <v>55</v>
      </c>
      <c r="AF83" t="s">
        <v>60</v>
      </c>
      <c r="AG83" t="s">
        <v>59</v>
      </c>
      <c r="AH83" t="s">
        <v>61</v>
      </c>
      <c r="AI83" t="s">
        <v>59</v>
      </c>
      <c r="AJ83" t="s">
        <v>55</v>
      </c>
      <c r="AK83" t="s">
        <v>59</v>
      </c>
      <c r="AL83" t="s">
        <v>55</v>
      </c>
      <c r="AM83" t="s">
        <v>57</v>
      </c>
      <c r="AN83" t="s">
        <v>81</v>
      </c>
      <c r="AO83" t="s">
        <v>58</v>
      </c>
      <c r="AP83" t="s">
        <v>57</v>
      </c>
      <c r="AQ83" t="s">
        <v>58</v>
      </c>
      <c r="AR83" t="s">
        <v>59</v>
      </c>
      <c r="AT83" t="str">
        <f t="shared" si="28"/>
        <v>raczej nie</v>
      </c>
      <c r="AU83" t="str">
        <f t="shared" si="29"/>
        <v>od 150 do 169 godzin</v>
      </c>
      <c r="AV83">
        <f t="shared" si="30"/>
        <v>169</v>
      </c>
      <c r="AW83">
        <f t="shared" si="31"/>
        <v>-1</v>
      </c>
    </row>
    <row r="84" spans="1:49" x14ac:dyDescent="0.2">
      <c r="A84" t="s">
        <v>222</v>
      </c>
      <c r="B84" t="s">
        <v>45</v>
      </c>
      <c r="C84" t="s">
        <v>46</v>
      </c>
      <c r="D84" t="s">
        <v>47</v>
      </c>
      <c r="E84" t="s">
        <v>48</v>
      </c>
      <c r="F84" t="s">
        <v>92</v>
      </c>
      <c r="G84" t="s">
        <v>89</v>
      </c>
      <c r="H84" t="s">
        <v>51</v>
      </c>
      <c r="I84" t="s">
        <v>70</v>
      </c>
      <c r="J84" t="s">
        <v>98</v>
      </c>
      <c r="K84" t="s">
        <v>54</v>
      </c>
      <c r="L84" t="s">
        <v>58</v>
      </c>
      <c r="M84" t="s">
        <v>51</v>
      </c>
      <c r="N84" t="s">
        <v>57</v>
      </c>
      <c r="O84" t="s">
        <v>104</v>
      </c>
      <c r="P84" t="s">
        <v>59</v>
      </c>
      <c r="Q84" t="s">
        <v>55</v>
      </c>
      <c r="R84" t="s">
        <v>59</v>
      </c>
      <c r="S84" t="s">
        <v>57</v>
      </c>
      <c r="T84" t="s">
        <v>59</v>
      </c>
      <c r="U84" t="s">
        <v>57</v>
      </c>
      <c r="V84" t="s">
        <v>57</v>
      </c>
      <c r="W84" t="s">
        <v>57</v>
      </c>
      <c r="X84" t="s">
        <v>58</v>
      </c>
      <c r="Y84" t="s">
        <v>55</v>
      </c>
      <c r="Z84" t="s">
        <v>58</v>
      </c>
      <c r="AA84" t="s">
        <v>59</v>
      </c>
      <c r="AB84" t="s">
        <v>57</v>
      </c>
      <c r="AC84" t="s">
        <v>58</v>
      </c>
      <c r="AD84" t="s">
        <v>57</v>
      </c>
      <c r="AE84" t="s">
        <v>55</v>
      </c>
      <c r="AF84" t="s">
        <v>60</v>
      </c>
      <c r="AG84" t="s">
        <v>55</v>
      </c>
      <c r="AH84" t="s">
        <v>61</v>
      </c>
      <c r="AI84" t="s">
        <v>59</v>
      </c>
      <c r="AJ84" t="s">
        <v>55</v>
      </c>
      <c r="AK84" t="s">
        <v>57</v>
      </c>
      <c r="AL84" t="s">
        <v>57</v>
      </c>
      <c r="AM84" t="s">
        <v>57</v>
      </c>
      <c r="AN84" t="s">
        <v>81</v>
      </c>
      <c r="AO84" t="s">
        <v>55</v>
      </c>
      <c r="AP84" t="s">
        <v>59</v>
      </c>
      <c r="AQ84" t="s">
        <v>57</v>
      </c>
      <c r="AR84" t="s">
        <v>58</v>
      </c>
      <c r="AT84" t="str">
        <f t="shared" si="28"/>
        <v>raczej tak</v>
      </c>
      <c r="AU84" t="str">
        <f t="shared" si="29"/>
        <v>od 150 do 169 godzin</v>
      </c>
      <c r="AV84">
        <f t="shared" si="30"/>
        <v>169</v>
      </c>
      <c r="AW84">
        <f t="shared" si="31"/>
        <v>1</v>
      </c>
    </row>
    <row r="85" spans="1:49" x14ac:dyDescent="0.2">
      <c r="A85" t="s">
        <v>225</v>
      </c>
      <c r="B85" t="s">
        <v>45</v>
      </c>
      <c r="C85" t="s">
        <v>46</v>
      </c>
      <c r="D85" t="s">
        <v>47</v>
      </c>
      <c r="E85" t="s">
        <v>103</v>
      </c>
      <c r="F85" t="s">
        <v>49</v>
      </c>
      <c r="G85" t="s">
        <v>93</v>
      </c>
      <c r="H85" t="s">
        <v>51</v>
      </c>
      <c r="I85" t="s">
        <v>70</v>
      </c>
      <c r="J85" t="s">
        <v>98</v>
      </c>
      <c r="K85" t="s">
        <v>54</v>
      </c>
      <c r="L85" t="s">
        <v>58</v>
      </c>
      <c r="M85" t="s">
        <v>51</v>
      </c>
      <c r="N85" t="s">
        <v>57</v>
      </c>
      <c r="O85" t="s">
        <v>85</v>
      </c>
      <c r="P85" t="s">
        <v>55</v>
      </c>
      <c r="Q85" t="s">
        <v>58</v>
      </c>
      <c r="R85" t="s">
        <v>57</v>
      </c>
      <c r="S85" t="s">
        <v>57</v>
      </c>
      <c r="T85" t="s">
        <v>55</v>
      </c>
      <c r="U85" t="s">
        <v>59</v>
      </c>
      <c r="V85" t="s">
        <v>57</v>
      </c>
      <c r="W85" t="s">
        <v>58</v>
      </c>
      <c r="X85" t="s">
        <v>55</v>
      </c>
      <c r="Y85" t="s">
        <v>57</v>
      </c>
      <c r="Z85" t="s">
        <v>57</v>
      </c>
      <c r="AA85" t="s">
        <v>57</v>
      </c>
      <c r="AB85" t="s">
        <v>58</v>
      </c>
      <c r="AC85" t="s">
        <v>55</v>
      </c>
      <c r="AD85" t="s">
        <v>57</v>
      </c>
      <c r="AE85" t="s">
        <v>57</v>
      </c>
      <c r="AF85" t="s">
        <v>60</v>
      </c>
      <c r="AG85" t="s">
        <v>57</v>
      </c>
      <c r="AH85" t="s">
        <v>74</v>
      </c>
      <c r="AI85" t="s">
        <v>58</v>
      </c>
      <c r="AJ85" t="s">
        <v>55</v>
      </c>
      <c r="AK85" t="s">
        <v>55</v>
      </c>
      <c r="AL85" t="s">
        <v>57</v>
      </c>
      <c r="AM85" t="s">
        <v>57</v>
      </c>
      <c r="AN85" t="s">
        <v>81</v>
      </c>
      <c r="AO85" t="s">
        <v>55</v>
      </c>
      <c r="AP85" t="s">
        <v>55</v>
      </c>
      <c r="AQ85" t="s">
        <v>58</v>
      </c>
      <c r="AR85" t="s">
        <v>58</v>
      </c>
      <c r="AT85" t="str">
        <f t="shared" si="28"/>
        <v>raczej tak</v>
      </c>
      <c r="AU85" t="str">
        <f t="shared" si="29"/>
        <v>od 150 do 169 godzin</v>
      </c>
      <c r="AV85">
        <f t="shared" si="30"/>
        <v>169</v>
      </c>
      <c r="AW85">
        <f t="shared" si="31"/>
        <v>1</v>
      </c>
    </row>
    <row r="86" spans="1:49" x14ac:dyDescent="0.2">
      <c r="A86" t="s">
        <v>226</v>
      </c>
      <c r="B86" t="s">
        <v>45</v>
      </c>
      <c r="C86" t="s">
        <v>46</v>
      </c>
      <c r="D86" t="s">
        <v>47</v>
      </c>
      <c r="E86" t="s">
        <v>103</v>
      </c>
      <c r="F86" t="s">
        <v>49</v>
      </c>
      <c r="G86" t="s">
        <v>50</v>
      </c>
      <c r="H86" t="s">
        <v>90</v>
      </c>
      <c r="I86" t="s">
        <v>70</v>
      </c>
      <c r="J86" t="s">
        <v>98</v>
      </c>
      <c r="K86" t="s">
        <v>80</v>
      </c>
      <c r="L86" t="s">
        <v>58</v>
      </c>
      <c r="M86" t="s">
        <v>51</v>
      </c>
      <c r="N86" t="s">
        <v>57</v>
      </c>
      <c r="O86" t="s">
        <v>104</v>
      </c>
      <c r="P86" t="s">
        <v>59</v>
      </c>
      <c r="Q86" t="s">
        <v>73</v>
      </c>
      <c r="R86" t="s">
        <v>73</v>
      </c>
      <c r="S86" t="s">
        <v>57</v>
      </c>
      <c r="T86" t="s">
        <v>59</v>
      </c>
      <c r="U86" t="s">
        <v>55</v>
      </c>
      <c r="V86" t="s">
        <v>55</v>
      </c>
      <c r="W86" t="s">
        <v>57</v>
      </c>
      <c r="X86" t="s">
        <v>59</v>
      </c>
      <c r="Y86" t="s">
        <v>57</v>
      </c>
      <c r="Z86" t="s">
        <v>73</v>
      </c>
      <c r="AA86" t="s">
        <v>73</v>
      </c>
      <c r="AB86" t="s">
        <v>73</v>
      </c>
      <c r="AC86" t="s">
        <v>55</v>
      </c>
      <c r="AD86" t="s">
        <v>58</v>
      </c>
      <c r="AE86" t="s">
        <v>58</v>
      </c>
      <c r="AF86" t="s">
        <v>60</v>
      </c>
      <c r="AG86" t="s">
        <v>57</v>
      </c>
      <c r="AH86" t="s">
        <v>61</v>
      </c>
      <c r="AI86" t="s">
        <v>55</v>
      </c>
      <c r="AJ86" t="s">
        <v>59</v>
      </c>
      <c r="AK86" t="s">
        <v>55</v>
      </c>
      <c r="AL86" t="s">
        <v>55</v>
      </c>
      <c r="AM86" t="s">
        <v>57</v>
      </c>
      <c r="AN86" t="s">
        <v>62</v>
      </c>
      <c r="AO86" t="s">
        <v>55</v>
      </c>
      <c r="AP86" t="s">
        <v>55</v>
      </c>
      <c r="AQ86" t="s">
        <v>58</v>
      </c>
      <c r="AR86" t="s">
        <v>57</v>
      </c>
      <c r="AT86" t="str">
        <f t="shared" si="28"/>
        <v>raczej nie</v>
      </c>
      <c r="AU86" t="str">
        <f t="shared" si="29"/>
        <v>od 150 do 169 godzin</v>
      </c>
      <c r="AV86">
        <f t="shared" si="30"/>
        <v>169</v>
      </c>
      <c r="AW86">
        <f t="shared" si="31"/>
        <v>-1</v>
      </c>
    </row>
    <row r="87" spans="1:49" x14ac:dyDescent="0.2">
      <c r="A87" t="s">
        <v>44</v>
      </c>
      <c r="B87" t="s">
        <v>45</v>
      </c>
      <c r="C87" t="s">
        <v>46</v>
      </c>
      <c r="D87" t="s">
        <v>47</v>
      </c>
      <c r="E87" t="s">
        <v>48</v>
      </c>
      <c r="F87" t="s">
        <v>49</v>
      </c>
      <c r="G87" t="s">
        <v>50</v>
      </c>
      <c r="H87" t="s">
        <v>51</v>
      </c>
      <c r="I87" t="s">
        <v>52</v>
      </c>
      <c r="J87" t="s">
        <v>53</v>
      </c>
      <c r="K87" t="s">
        <v>54</v>
      </c>
      <c r="L87" t="s">
        <v>55</v>
      </c>
      <c r="M87" t="s">
        <v>56</v>
      </c>
      <c r="N87" t="s">
        <v>57</v>
      </c>
      <c r="O87" t="s">
        <v>57</v>
      </c>
      <c r="P87" t="s">
        <v>55</v>
      </c>
      <c r="Q87" t="s">
        <v>58</v>
      </c>
      <c r="R87" t="s">
        <v>57</v>
      </c>
      <c r="S87" t="s">
        <v>58</v>
      </c>
      <c r="T87" t="s">
        <v>59</v>
      </c>
      <c r="U87" t="s">
        <v>58</v>
      </c>
      <c r="V87" t="s">
        <v>58</v>
      </c>
      <c r="W87" t="s">
        <v>55</v>
      </c>
      <c r="X87" t="s">
        <v>59</v>
      </c>
      <c r="Y87" t="s">
        <v>55</v>
      </c>
      <c r="Z87" t="s">
        <v>55</v>
      </c>
      <c r="AA87" t="s">
        <v>58</v>
      </c>
      <c r="AB87" t="s">
        <v>58</v>
      </c>
      <c r="AC87" t="s">
        <v>58</v>
      </c>
      <c r="AD87" t="s">
        <v>58</v>
      </c>
      <c r="AE87" t="s">
        <v>57</v>
      </c>
      <c r="AF87" t="s">
        <v>60</v>
      </c>
      <c r="AG87" t="s">
        <v>58</v>
      </c>
      <c r="AH87" t="s">
        <v>61</v>
      </c>
      <c r="AI87" t="s">
        <v>55</v>
      </c>
      <c r="AJ87" t="s">
        <v>59</v>
      </c>
      <c r="AK87" t="s">
        <v>59</v>
      </c>
      <c r="AL87" t="s">
        <v>57</v>
      </c>
      <c r="AM87" t="s">
        <v>59</v>
      </c>
      <c r="AN87" t="s">
        <v>62</v>
      </c>
      <c r="AO87" t="s">
        <v>55</v>
      </c>
      <c r="AP87" t="s">
        <v>59</v>
      </c>
      <c r="AQ87" t="s">
        <v>55</v>
      </c>
      <c r="AR87" t="s">
        <v>57</v>
      </c>
      <c r="AT87" t="str">
        <f t="shared" si="28"/>
        <v>raczej tak</v>
      </c>
      <c r="AU87" t="str">
        <f t="shared" si="29"/>
        <v>od 170 do 199 godzin</v>
      </c>
      <c r="AV87">
        <f t="shared" si="30"/>
        <v>199</v>
      </c>
      <c r="AW87">
        <f t="shared" si="31"/>
        <v>1</v>
      </c>
    </row>
    <row r="88" spans="1:49" x14ac:dyDescent="0.2">
      <c r="A88" t="s">
        <v>102</v>
      </c>
      <c r="B88" t="s">
        <v>45</v>
      </c>
      <c r="C88" t="s">
        <v>46</v>
      </c>
      <c r="D88" t="s">
        <v>47</v>
      </c>
      <c r="E88" t="s">
        <v>103</v>
      </c>
      <c r="F88" t="s">
        <v>49</v>
      </c>
      <c r="G88" t="s">
        <v>97</v>
      </c>
      <c r="H88" t="s">
        <v>90</v>
      </c>
      <c r="I88" t="s">
        <v>52</v>
      </c>
      <c r="J88" t="s">
        <v>53</v>
      </c>
      <c r="K88" t="s">
        <v>80</v>
      </c>
      <c r="L88" t="s">
        <v>57</v>
      </c>
      <c r="M88" t="s">
        <v>99</v>
      </c>
      <c r="N88" t="s">
        <v>57</v>
      </c>
      <c r="O88" t="s">
        <v>104</v>
      </c>
      <c r="P88" t="s">
        <v>73</v>
      </c>
      <c r="Q88" t="s">
        <v>57</v>
      </c>
      <c r="R88" t="s">
        <v>55</v>
      </c>
      <c r="S88" t="s">
        <v>73</v>
      </c>
      <c r="T88" t="s">
        <v>59</v>
      </c>
      <c r="U88" t="s">
        <v>73</v>
      </c>
      <c r="V88" t="s">
        <v>57</v>
      </c>
      <c r="W88" t="s">
        <v>55</v>
      </c>
      <c r="X88" t="s">
        <v>59</v>
      </c>
      <c r="Y88" t="s">
        <v>73</v>
      </c>
      <c r="Z88" t="s">
        <v>58</v>
      </c>
      <c r="AA88" t="s">
        <v>73</v>
      </c>
      <c r="AB88" t="s">
        <v>73</v>
      </c>
      <c r="AC88" t="s">
        <v>57</v>
      </c>
      <c r="AD88" t="s">
        <v>55</v>
      </c>
      <c r="AE88" t="s">
        <v>57</v>
      </c>
      <c r="AF88" t="s">
        <v>60</v>
      </c>
      <c r="AG88" t="s">
        <v>57</v>
      </c>
      <c r="AH88" t="s">
        <v>61</v>
      </c>
      <c r="AI88" t="s">
        <v>55</v>
      </c>
      <c r="AJ88" t="s">
        <v>55</v>
      </c>
      <c r="AK88" t="s">
        <v>55</v>
      </c>
      <c r="AL88" t="s">
        <v>57</v>
      </c>
      <c r="AM88" t="s">
        <v>57</v>
      </c>
      <c r="AN88" t="s">
        <v>81</v>
      </c>
      <c r="AO88" t="s">
        <v>73</v>
      </c>
      <c r="AP88" t="s">
        <v>73</v>
      </c>
      <c r="AQ88" t="s">
        <v>73</v>
      </c>
      <c r="AR88" t="s">
        <v>55</v>
      </c>
      <c r="AT88" t="str">
        <f t="shared" si="28"/>
        <v>raczej tak</v>
      </c>
      <c r="AU88" t="str">
        <f t="shared" si="29"/>
        <v>od 170 do 199 godzin</v>
      </c>
      <c r="AV88">
        <f t="shared" si="30"/>
        <v>199</v>
      </c>
      <c r="AW88">
        <f t="shared" si="31"/>
        <v>1</v>
      </c>
    </row>
    <row r="89" spans="1:49" x14ac:dyDescent="0.2">
      <c r="A89" t="s">
        <v>107</v>
      </c>
      <c r="B89" t="s">
        <v>45</v>
      </c>
      <c r="C89" t="s">
        <v>46</v>
      </c>
      <c r="D89" t="s">
        <v>47</v>
      </c>
      <c r="E89" t="s">
        <v>103</v>
      </c>
      <c r="F89" t="s">
        <v>49</v>
      </c>
      <c r="G89" t="s">
        <v>50</v>
      </c>
      <c r="H89" t="s">
        <v>90</v>
      </c>
      <c r="I89" t="s">
        <v>52</v>
      </c>
      <c r="J89" t="s">
        <v>53</v>
      </c>
      <c r="K89" t="s">
        <v>80</v>
      </c>
      <c r="L89" t="s">
        <v>58</v>
      </c>
      <c r="M89" t="s">
        <v>51</v>
      </c>
      <c r="N89" t="s">
        <v>73</v>
      </c>
      <c r="O89" t="s">
        <v>104</v>
      </c>
      <c r="P89" t="s">
        <v>55</v>
      </c>
      <c r="Q89" t="s">
        <v>57</v>
      </c>
      <c r="R89" t="s">
        <v>55</v>
      </c>
      <c r="S89" t="s">
        <v>57</v>
      </c>
      <c r="T89" t="s">
        <v>55</v>
      </c>
      <c r="U89" t="s">
        <v>57</v>
      </c>
      <c r="V89" t="s">
        <v>57</v>
      </c>
      <c r="W89" t="s">
        <v>57</v>
      </c>
      <c r="X89" t="s">
        <v>59</v>
      </c>
      <c r="Y89" t="s">
        <v>57</v>
      </c>
      <c r="Z89" t="s">
        <v>73</v>
      </c>
      <c r="AA89" t="s">
        <v>55</v>
      </c>
      <c r="AB89" t="s">
        <v>73</v>
      </c>
      <c r="AC89" t="s">
        <v>55</v>
      </c>
      <c r="AD89" t="s">
        <v>57</v>
      </c>
      <c r="AE89" t="s">
        <v>57</v>
      </c>
      <c r="AF89" t="s">
        <v>60</v>
      </c>
      <c r="AG89" t="s">
        <v>57</v>
      </c>
      <c r="AH89" t="s">
        <v>61</v>
      </c>
      <c r="AI89" t="s">
        <v>55</v>
      </c>
      <c r="AJ89" t="s">
        <v>59</v>
      </c>
      <c r="AK89" t="s">
        <v>55</v>
      </c>
      <c r="AL89" t="s">
        <v>57</v>
      </c>
      <c r="AM89" t="s">
        <v>57</v>
      </c>
      <c r="AN89" t="s">
        <v>62</v>
      </c>
      <c r="AO89" t="s">
        <v>55</v>
      </c>
      <c r="AP89" t="s">
        <v>55</v>
      </c>
      <c r="AQ89" t="s">
        <v>57</v>
      </c>
      <c r="AR89" t="s">
        <v>57</v>
      </c>
      <c r="AT89" t="str">
        <f t="shared" si="28"/>
        <v>raczej tak</v>
      </c>
      <c r="AU89" t="str">
        <f t="shared" si="29"/>
        <v>od 170 do 199 godzin</v>
      </c>
      <c r="AV89">
        <f t="shared" si="30"/>
        <v>199</v>
      </c>
      <c r="AW89">
        <f t="shared" si="31"/>
        <v>1</v>
      </c>
    </row>
    <row r="90" spans="1:49" x14ac:dyDescent="0.2">
      <c r="A90" t="s">
        <v>109</v>
      </c>
      <c r="B90" t="s">
        <v>45</v>
      </c>
      <c r="C90" t="s">
        <v>46</v>
      </c>
      <c r="D90" t="s">
        <v>47</v>
      </c>
      <c r="E90" t="s">
        <v>48</v>
      </c>
      <c r="F90" t="s">
        <v>49</v>
      </c>
      <c r="G90" t="s">
        <v>97</v>
      </c>
      <c r="H90" t="s">
        <v>90</v>
      </c>
      <c r="I90" t="s">
        <v>52</v>
      </c>
      <c r="J90" t="s">
        <v>53</v>
      </c>
      <c r="K90" t="s">
        <v>54</v>
      </c>
      <c r="L90" t="s">
        <v>57</v>
      </c>
      <c r="M90" t="s">
        <v>51</v>
      </c>
      <c r="N90" t="s">
        <v>85</v>
      </c>
      <c r="O90" t="s">
        <v>57</v>
      </c>
      <c r="P90" t="s">
        <v>59</v>
      </c>
      <c r="Q90" t="s">
        <v>57</v>
      </c>
      <c r="R90" t="s">
        <v>55</v>
      </c>
      <c r="S90" t="s">
        <v>73</v>
      </c>
      <c r="T90" t="s">
        <v>59</v>
      </c>
      <c r="U90" t="s">
        <v>55</v>
      </c>
      <c r="V90" t="s">
        <v>58</v>
      </c>
      <c r="W90" t="s">
        <v>58</v>
      </c>
      <c r="X90" t="s">
        <v>59</v>
      </c>
      <c r="Y90" t="s">
        <v>59</v>
      </c>
      <c r="Z90" t="s">
        <v>73</v>
      </c>
      <c r="AA90" t="s">
        <v>57</v>
      </c>
      <c r="AB90" t="s">
        <v>58</v>
      </c>
      <c r="AC90" t="s">
        <v>57</v>
      </c>
      <c r="AD90" t="s">
        <v>57</v>
      </c>
      <c r="AE90" t="s">
        <v>55</v>
      </c>
      <c r="AF90" t="s">
        <v>60</v>
      </c>
      <c r="AG90" t="s">
        <v>57</v>
      </c>
      <c r="AH90" t="s">
        <v>61</v>
      </c>
      <c r="AI90" t="s">
        <v>55</v>
      </c>
      <c r="AJ90" t="s">
        <v>55</v>
      </c>
      <c r="AK90" t="s">
        <v>59</v>
      </c>
      <c r="AL90" t="s">
        <v>57</v>
      </c>
      <c r="AM90" t="s">
        <v>57</v>
      </c>
      <c r="AN90" t="s">
        <v>81</v>
      </c>
      <c r="AO90" t="s">
        <v>55</v>
      </c>
      <c r="AP90" t="s">
        <v>73</v>
      </c>
      <c r="AQ90" t="s">
        <v>57</v>
      </c>
      <c r="AR90" t="s">
        <v>57</v>
      </c>
      <c r="AT90" t="str">
        <f t="shared" si="28"/>
        <v>raczej tak</v>
      </c>
      <c r="AU90" t="str">
        <f t="shared" si="29"/>
        <v>od 170 do 199 godzin</v>
      </c>
      <c r="AV90">
        <f t="shared" si="30"/>
        <v>199</v>
      </c>
      <c r="AW90">
        <f t="shared" si="31"/>
        <v>1</v>
      </c>
    </row>
    <row r="91" spans="1:49" x14ac:dyDescent="0.2">
      <c r="A91" t="s">
        <v>112</v>
      </c>
      <c r="B91" t="s">
        <v>45</v>
      </c>
      <c r="C91" t="s">
        <v>46</v>
      </c>
      <c r="D91" t="s">
        <v>47</v>
      </c>
      <c r="E91" t="s">
        <v>113</v>
      </c>
      <c r="F91" t="s">
        <v>49</v>
      </c>
      <c r="G91" t="s">
        <v>89</v>
      </c>
      <c r="H91" t="s">
        <v>90</v>
      </c>
      <c r="I91" t="s">
        <v>114</v>
      </c>
      <c r="J91" t="s">
        <v>53</v>
      </c>
      <c r="K91" t="s">
        <v>54</v>
      </c>
      <c r="L91" t="s">
        <v>58</v>
      </c>
      <c r="M91" t="s">
        <v>51</v>
      </c>
      <c r="N91" t="s">
        <v>85</v>
      </c>
      <c r="O91" t="s">
        <v>58</v>
      </c>
      <c r="P91" t="s">
        <v>59</v>
      </c>
      <c r="Q91" t="s">
        <v>55</v>
      </c>
      <c r="R91" t="s">
        <v>57</v>
      </c>
      <c r="S91" t="s">
        <v>57</v>
      </c>
      <c r="T91" t="s">
        <v>55</v>
      </c>
      <c r="U91" t="s">
        <v>57</v>
      </c>
      <c r="V91" t="s">
        <v>58</v>
      </c>
      <c r="W91" t="s">
        <v>58</v>
      </c>
      <c r="X91" t="s">
        <v>59</v>
      </c>
      <c r="Y91" t="s">
        <v>55</v>
      </c>
      <c r="Z91" t="s">
        <v>58</v>
      </c>
      <c r="AA91" t="s">
        <v>58</v>
      </c>
      <c r="AB91" t="s">
        <v>58</v>
      </c>
      <c r="AC91" t="s">
        <v>58</v>
      </c>
      <c r="AD91" t="s">
        <v>58</v>
      </c>
      <c r="AE91" t="s">
        <v>58</v>
      </c>
      <c r="AF91" t="s">
        <v>60</v>
      </c>
      <c r="AG91" t="s">
        <v>58</v>
      </c>
      <c r="AH91" t="s">
        <v>61</v>
      </c>
      <c r="AI91" t="s">
        <v>59</v>
      </c>
      <c r="AJ91" t="s">
        <v>55</v>
      </c>
      <c r="AK91" t="s">
        <v>59</v>
      </c>
      <c r="AL91" t="s">
        <v>57</v>
      </c>
      <c r="AM91" t="s">
        <v>55</v>
      </c>
      <c r="AN91" t="s">
        <v>62</v>
      </c>
      <c r="AO91" t="s">
        <v>59</v>
      </c>
      <c r="AP91" t="s">
        <v>55</v>
      </c>
      <c r="AQ91" t="s">
        <v>58</v>
      </c>
      <c r="AR91" t="s">
        <v>59</v>
      </c>
      <c r="AT91" t="str">
        <f t="shared" si="28"/>
        <v>raczej tak</v>
      </c>
      <c r="AU91" t="str">
        <f t="shared" si="29"/>
        <v>od 170 do 199 godzin</v>
      </c>
      <c r="AV91">
        <f t="shared" si="30"/>
        <v>199</v>
      </c>
      <c r="AW91">
        <f t="shared" si="31"/>
        <v>1</v>
      </c>
    </row>
    <row r="92" spans="1:49" x14ac:dyDescent="0.2">
      <c r="A92" t="s">
        <v>127</v>
      </c>
      <c r="B92" t="s">
        <v>45</v>
      </c>
      <c r="C92" t="s">
        <v>46</v>
      </c>
      <c r="D92" t="s">
        <v>47</v>
      </c>
      <c r="E92" t="s">
        <v>103</v>
      </c>
      <c r="F92" t="s">
        <v>77</v>
      </c>
      <c r="G92" t="s">
        <v>89</v>
      </c>
      <c r="H92" t="s">
        <v>90</v>
      </c>
      <c r="I92" t="s">
        <v>52</v>
      </c>
      <c r="J92" t="s">
        <v>53</v>
      </c>
      <c r="K92" t="s">
        <v>54</v>
      </c>
      <c r="L92" t="s">
        <v>57</v>
      </c>
      <c r="M92" t="s">
        <v>51</v>
      </c>
      <c r="N92" t="s">
        <v>57</v>
      </c>
      <c r="O92" t="s">
        <v>85</v>
      </c>
      <c r="P92" t="s">
        <v>55</v>
      </c>
      <c r="Q92" t="s">
        <v>57</v>
      </c>
      <c r="R92" t="s">
        <v>58</v>
      </c>
      <c r="S92" t="s">
        <v>57</v>
      </c>
      <c r="T92" t="s">
        <v>59</v>
      </c>
      <c r="U92" t="s">
        <v>59</v>
      </c>
      <c r="V92" t="s">
        <v>57</v>
      </c>
      <c r="W92" t="s">
        <v>57</v>
      </c>
      <c r="X92" t="s">
        <v>59</v>
      </c>
      <c r="Y92" t="s">
        <v>57</v>
      </c>
      <c r="Z92" t="s">
        <v>58</v>
      </c>
      <c r="AA92" t="s">
        <v>58</v>
      </c>
      <c r="AB92" t="s">
        <v>58</v>
      </c>
      <c r="AC92" t="s">
        <v>58</v>
      </c>
      <c r="AD92" t="s">
        <v>58</v>
      </c>
      <c r="AE92" t="s">
        <v>57</v>
      </c>
      <c r="AF92" t="s">
        <v>60</v>
      </c>
      <c r="AG92" t="s">
        <v>58</v>
      </c>
      <c r="AH92" t="s">
        <v>61</v>
      </c>
      <c r="AI92" t="s">
        <v>73</v>
      </c>
      <c r="AJ92" t="s">
        <v>58</v>
      </c>
      <c r="AK92" t="s">
        <v>57</v>
      </c>
      <c r="AL92" t="s">
        <v>58</v>
      </c>
      <c r="AM92" t="s">
        <v>57</v>
      </c>
      <c r="AN92" t="s">
        <v>81</v>
      </c>
      <c r="AO92" t="s">
        <v>55</v>
      </c>
      <c r="AP92" t="s">
        <v>55</v>
      </c>
      <c r="AQ92" t="s">
        <v>58</v>
      </c>
      <c r="AR92" t="s">
        <v>58</v>
      </c>
      <c r="AT92" t="str">
        <f t="shared" si="28"/>
        <v>zdecydowanie tak</v>
      </c>
      <c r="AU92" t="str">
        <f t="shared" si="29"/>
        <v>od 170 do 199 godzin</v>
      </c>
      <c r="AV92">
        <f t="shared" si="30"/>
        <v>199</v>
      </c>
      <c r="AW92">
        <f t="shared" si="31"/>
        <v>2</v>
      </c>
    </row>
    <row r="93" spans="1:49" x14ac:dyDescent="0.2">
      <c r="A93" t="s">
        <v>134</v>
      </c>
      <c r="B93" t="s">
        <v>45</v>
      </c>
      <c r="C93" t="s">
        <v>46</v>
      </c>
      <c r="D93" t="s">
        <v>47</v>
      </c>
      <c r="E93" t="s">
        <v>48</v>
      </c>
      <c r="F93" t="s">
        <v>49</v>
      </c>
      <c r="G93" t="s">
        <v>89</v>
      </c>
      <c r="H93" t="s">
        <v>51</v>
      </c>
      <c r="I93" t="s">
        <v>70</v>
      </c>
      <c r="J93" t="s">
        <v>53</v>
      </c>
      <c r="K93" t="s">
        <v>54</v>
      </c>
      <c r="L93" t="s">
        <v>58</v>
      </c>
      <c r="M93" t="s">
        <v>56</v>
      </c>
      <c r="N93" t="s">
        <v>57</v>
      </c>
      <c r="O93" t="s">
        <v>104</v>
      </c>
      <c r="P93" t="s">
        <v>59</v>
      </c>
      <c r="Q93" t="s">
        <v>55</v>
      </c>
      <c r="R93" t="s">
        <v>55</v>
      </c>
      <c r="S93" t="s">
        <v>57</v>
      </c>
      <c r="T93" t="s">
        <v>59</v>
      </c>
      <c r="U93" t="s">
        <v>55</v>
      </c>
      <c r="V93" t="s">
        <v>57</v>
      </c>
      <c r="W93" t="s">
        <v>59</v>
      </c>
      <c r="X93" t="s">
        <v>57</v>
      </c>
      <c r="Y93" t="s">
        <v>57</v>
      </c>
      <c r="Z93" t="s">
        <v>55</v>
      </c>
      <c r="AA93" t="s">
        <v>55</v>
      </c>
      <c r="AB93" t="s">
        <v>57</v>
      </c>
      <c r="AC93" t="s">
        <v>55</v>
      </c>
      <c r="AD93" t="s">
        <v>57</v>
      </c>
      <c r="AE93" t="s">
        <v>55</v>
      </c>
      <c r="AF93" t="s">
        <v>60</v>
      </c>
      <c r="AG93" t="s">
        <v>55</v>
      </c>
      <c r="AH93" t="s">
        <v>86</v>
      </c>
      <c r="AI93" t="s">
        <v>55</v>
      </c>
      <c r="AJ93" t="s">
        <v>55</v>
      </c>
      <c r="AK93" t="s">
        <v>55</v>
      </c>
      <c r="AL93" t="s">
        <v>55</v>
      </c>
      <c r="AM93" t="s">
        <v>55</v>
      </c>
      <c r="AN93" t="s">
        <v>81</v>
      </c>
      <c r="AO93" t="s">
        <v>57</v>
      </c>
      <c r="AP93" t="s">
        <v>55</v>
      </c>
      <c r="AQ93" t="s">
        <v>57</v>
      </c>
      <c r="AR93" t="s">
        <v>57</v>
      </c>
      <c r="AT93" t="str">
        <f t="shared" si="28"/>
        <v>raczej nie</v>
      </c>
      <c r="AU93" t="str">
        <f t="shared" si="29"/>
        <v>od 170 do 199 godzin</v>
      </c>
      <c r="AV93">
        <f t="shared" si="30"/>
        <v>199</v>
      </c>
      <c r="AW93">
        <f t="shared" si="31"/>
        <v>-1</v>
      </c>
    </row>
    <row r="94" spans="1:49" x14ac:dyDescent="0.2">
      <c r="A94" t="s">
        <v>150</v>
      </c>
      <c r="B94" t="s">
        <v>45</v>
      </c>
      <c r="C94" t="s">
        <v>46</v>
      </c>
      <c r="D94" t="s">
        <v>88</v>
      </c>
      <c r="E94" t="s">
        <v>83</v>
      </c>
      <c r="F94" t="s">
        <v>77</v>
      </c>
      <c r="G94" t="s">
        <v>68</v>
      </c>
      <c r="H94" t="s">
        <v>90</v>
      </c>
      <c r="I94" t="s">
        <v>70</v>
      </c>
      <c r="J94" t="s">
        <v>53</v>
      </c>
      <c r="K94" t="s">
        <v>80</v>
      </c>
      <c r="L94" t="s">
        <v>55</v>
      </c>
      <c r="M94" t="s">
        <v>56</v>
      </c>
      <c r="N94" t="s">
        <v>85</v>
      </c>
      <c r="O94" t="s">
        <v>57</v>
      </c>
      <c r="P94" t="s">
        <v>59</v>
      </c>
      <c r="Q94" t="s">
        <v>58</v>
      </c>
      <c r="R94" t="s">
        <v>58</v>
      </c>
      <c r="S94" t="s">
        <v>57</v>
      </c>
      <c r="T94" t="s">
        <v>55</v>
      </c>
      <c r="U94" t="s">
        <v>73</v>
      </c>
      <c r="V94" t="s">
        <v>57</v>
      </c>
      <c r="W94" t="s">
        <v>57</v>
      </c>
      <c r="X94" t="s">
        <v>59</v>
      </c>
      <c r="Y94" t="s">
        <v>73</v>
      </c>
      <c r="Z94" t="s">
        <v>57</v>
      </c>
      <c r="AA94" t="s">
        <v>59</v>
      </c>
      <c r="AB94" t="s">
        <v>73</v>
      </c>
      <c r="AC94" t="s">
        <v>58</v>
      </c>
      <c r="AD94" t="s">
        <v>55</v>
      </c>
      <c r="AE94" t="s">
        <v>55</v>
      </c>
      <c r="AF94" t="s">
        <v>60</v>
      </c>
      <c r="AG94" t="s">
        <v>73</v>
      </c>
      <c r="AH94" t="s">
        <v>61</v>
      </c>
      <c r="AI94" t="s">
        <v>59</v>
      </c>
      <c r="AJ94" t="s">
        <v>73</v>
      </c>
      <c r="AK94" t="s">
        <v>55</v>
      </c>
      <c r="AL94" t="s">
        <v>58</v>
      </c>
      <c r="AM94" t="s">
        <v>55</v>
      </c>
      <c r="AN94" t="s">
        <v>62</v>
      </c>
      <c r="AO94" t="s">
        <v>58</v>
      </c>
      <c r="AP94" t="s">
        <v>57</v>
      </c>
      <c r="AQ94" t="s">
        <v>55</v>
      </c>
      <c r="AR94" t="s">
        <v>73</v>
      </c>
      <c r="AT94" t="str">
        <f t="shared" si="28"/>
        <v>zdecydowanie tak</v>
      </c>
      <c r="AU94" t="str">
        <f t="shared" si="29"/>
        <v>od 170 do 199 godzin</v>
      </c>
      <c r="AV94">
        <f t="shared" si="30"/>
        <v>199</v>
      </c>
      <c r="AW94">
        <f t="shared" si="31"/>
        <v>2</v>
      </c>
    </row>
    <row r="95" spans="1:49" x14ac:dyDescent="0.2">
      <c r="A95" t="s">
        <v>165</v>
      </c>
      <c r="B95" t="s">
        <v>45</v>
      </c>
      <c r="C95" t="s">
        <v>46</v>
      </c>
      <c r="D95" t="s">
        <v>47</v>
      </c>
      <c r="E95" t="s">
        <v>113</v>
      </c>
      <c r="F95" t="s">
        <v>49</v>
      </c>
      <c r="G95" t="s">
        <v>89</v>
      </c>
      <c r="H95" t="s">
        <v>90</v>
      </c>
      <c r="I95" t="s">
        <v>114</v>
      </c>
      <c r="J95" t="s">
        <v>53</v>
      </c>
      <c r="K95" t="s">
        <v>54</v>
      </c>
      <c r="L95" t="s">
        <v>58</v>
      </c>
      <c r="M95" t="s">
        <v>99</v>
      </c>
      <c r="N95" t="s">
        <v>85</v>
      </c>
      <c r="O95" t="s">
        <v>57</v>
      </c>
      <c r="P95" t="s">
        <v>73</v>
      </c>
      <c r="Q95" t="s">
        <v>73</v>
      </c>
      <c r="R95" t="s">
        <v>73</v>
      </c>
      <c r="S95" t="s">
        <v>73</v>
      </c>
      <c r="T95" t="s">
        <v>73</v>
      </c>
      <c r="U95" t="s">
        <v>55</v>
      </c>
      <c r="V95" t="s">
        <v>55</v>
      </c>
      <c r="W95" t="s">
        <v>55</v>
      </c>
      <c r="X95" t="s">
        <v>55</v>
      </c>
      <c r="Y95" t="s">
        <v>55</v>
      </c>
      <c r="Z95" t="s">
        <v>55</v>
      </c>
      <c r="AA95" t="s">
        <v>55</v>
      </c>
      <c r="AB95" t="s">
        <v>73</v>
      </c>
      <c r="AC95" t="s">
        <v>57</v>
      </c>
      <c r="AD95" t="s">
        <v>73</v>
      </c>
      <c r="AE95" t="s">
        <v>55</v>
      </c>
      <c r="AF95" t="s">
        <v>60</v>
      </c>
      <c r="AG95" t="s">
        <v>73</v>
      </c>
      <c r="AH95" t="s">
        <v>61</v>
      </c>
      <c r="AI95" t="s">
        <v>59</v>
      </c>
      <c r="AJ95" t="s">
        <v>59</v>
      </c>
      <c r="AK95" t="s">
        <v>59</v>
      </c>
      <c r="AL95" t="s">
        <v>59</v>
      </c>
      <c r="AM95" t="s">
        <v>59</v>
      </c>
      <c r="AN95" t="s">
        <v>81</v>
      </c>
      <c r="AO95" t="s">
        <v>58</v>
      </c>
      <c r="AP95" t="s">
        <v>58</v>
      </c>
      <c r="AQ95" t="s">
        <v>58</v>
      </c>
      <c r="AR95" t="s">
        <v>58</v>
      </c>
      <c r="AT95" t="str">
        <f t="shared" si="28"/>
        <v>zdecydowanie nie</v>
      </c>
      <c r="AU95" t="str">
        <f t="shared" si="29"/>
        <v>od 170 do 199 godzin</v>
      </c>
      <c r="AV95">
        <f t="shared" si="30"/>
        <v>199</v>
      </c>
      <c r="AW95">
        <f t="shared" si="31"/>
        <v>-2</v>
      </c>
    </row>
    <row r="96" spans="1:49" x14ac:dyDescent="0.2">
      <c r="A96" t="s">
        <v>171</v>
      </c>
      <c r="B96" t="s">
        <v>45</v>
      </c>
      <c r="C96" t="s">
        <v>46</v>
      </c>
      <c r="D96" t="s">
        <v>88</v>
      </c>
      <c r="E96" t="s">
        <v>96</v>
      </c>
      <c r="F96" t="s">
        <v>49</v>
      </c>
      <c r="G96" t="s">
        <v>93</v>
      </c>
      <c r="H96" t="s">
        <v>90</v>
      </c>
      <c r="I96" t="s">
        <v>70</v>
      </c>
      <c r="J96" t="s">
        <v>53</v>
      </c>
      <c r="K96" t="s">
        <v>54</v>
      </c>
      <c r="L96" t="s">
        <v>57</v>
      </c>
      <c r="M96" t="s">
        <v>99</v>
      </c>
      <c r="N96" t="s">
        <v>73</v>
      </c>
      <c r="O96" t="s">
        <v>85</v>
      </c>
      <c r="P96" t="s">
        <v>55</v>
      </c>
      <c r="Q96" t="s">
        <v>57</v>
      </c>
      <c r="R96" t="s">
        <v>57</v>
      </c>
      <c r="S96" t="s">
        <v>55</v>
      </c>
      <c r="T96" t="s">
        <v>55</v>
      </c>
      <c r="U96" t="s">
        <v>55</v>
      </c>
      <c r="V96" t="s">
        <v>55</v>
      </c>
      <c r="W96" t="s">
        <v>58</v>
      </c>
      <c r="X96" t="s">
        <v>59</v>
      </c>
      <c r="Y96" t="s">
        <v>59</v>
      </c>
      <c r="Z96" t="s">
        <v>57</v>
      </c>
      <c r="AA96" t="s">
        <v>57</v>
      </c>
      <c r="AB96" t="s">
        <v>57</v>
      </c>
      <c r="AC96" t="s">
        <v>57</v>
      </c>
      <c r="AD96" t="s">
        <v>58</v>
      </c>
      <c r="AE96" t="s">
        <v>57</v>
      </c>
      <c r="AF96" t="s">
        <v>60</v>
      </c>
      <c r="AG96" t="s">
        <v>57</v>
      </c>
      <c r="AH96" t="s">
        <v>61</v>
      </c>
      <c r="AI96" t="s">
        <v>59</v>
      </c>
      <c r="AJ96" t="s">
        <v>55</v>
      </c>
      <c r="AK96" t="s">
        <v>55</v>
      </c>
      <c r="AL96" t="s">
        <v>58</v>
      </c>
      <c r="AM96" t="s">
        <v>55</v>
      </c>
      <c r="AN96" t="s">
        <v>62</v>
      </c>
      <c r="AO96" t="s">
        <v>57</v>
      </c>
      <c r="AP96" t="s">
        <v>57</v>
      </c>
      <c r="AQ96" t="s">
        <v>73</v>
      </c>
      <c r="AR96" t="s">
        <v>55</v>
      </c>
      <c r="AT96" t="str">
        <f t="shared" si="28"/>
        <v>zdecydowanie tak</v>
      </c>
      <c r="AU96" t="str">
        <f t="shared" si="29"/>
        <v>od 170 do 199 godzin</v>
      </c>
      <c r="AV96">
        <f t="shared" si="30"/>
        <v>199</v>
      </c>
      <c r="AW96">
        <f t="shared" si="31"/>
        <v>2</v>
      </c>
    </row>
    <row r="97" spans="1:49" x14ac:dyDescent="0.2">
      <c r="A97" t="s">
        <v>175</v>
      </c>
      <c r="B97" t="s">
        <v>45</v>
      </c>
      <c r="C97" t="s">
        <v>46</v>
      </c>
      <c r="D97" t="s">
        <v>123</v>
      </c>
      <c r="E97" t="s">
        <v>126</v>
      </c>
      <c r="F97" t="s">
        <v>92</v>
      </c>
      <c r="G97" t="s">
        <v>68</v>
      </c>
      <c r="H97" t="s">
        <v>51</v>
      </c>
      <c r="I97" t="s">
        <v>52</v>
      </c>
      <c r="J97" t="s">
        <v>53</v>
      </c>
      <c r="K97" t="s">
        <v>80</v>
      </c>
      <c r="L97" t="s">
        <v>58</v>
      </c>
      <c r="M97" t="s">
        <v>51</v>
      </c>
      <c r="N97" t="s">
        <v>85</v>
      </c>
      <c r="O97" t="s">
        <v>85</v>
      </c>
      <c r="P97" t="s">
        <v>55</v>
      </c>
      <c r="Q97" t="s">
        <v>55</v>
      </c>
      <c r="R97" t="s">
        <v>55</v>
      </c>
      <c r="S97" t="s">
        <v>57</v>
      </c>
      <c r="T97" t="s">
        <v>55</v>
      </c>
      <c r="U97" t="s">
        <v>55</v>
      </c>
      <c r="V97" t="s">
        <v>55</v>
      </c>
      <c r="W97" t="s">
        <v>55</v>
      </c>
      <c r="X97" t="s">
        <v>59</v>
      </c>
      <c r="Y97" t="s">
        <v>55</v>
      </c>
      <c r="Z97" t="s">
        <v>57</v>
      </c>
      <c r="AA97" t="s">
        <v>55</v>
      </c>
      <c r="AB97" t="s">
        <v>57</v>
      </c>
      <c r="AC97" t="s">
        <v>57</v>
      </c>
      <c r="AD97" t="s">
        <v>73</v>
      </c>
      <c r="AE97" t="s">
        <v>57</v>
      </c>
      <c r="AF97" t="s">
        <v>60</v>
      </c>
      <c r="AG97" t="s">
        <v>57</v>
      </c>
      <c r="AH97" t="s">
        <v>74</v>
      </c>
      <c r="AI97" t="s">
        <v>55</v>
      </c>
      <c r="AJ97" t="s">
        <v>55</v>
      </c>
      <c r="AK97" t="s">
        <v>55</v>
      </c>
      <c r="AL97" t="s">
        <v>55</v>
      </c>
      <c r="AM97" t="s">
        <v>57</v>
      </c>
      <c r="AN97" t="s">
        <v>81</v>
      </c>
      <c r="AO97" t="s">
        <v>58</v>
      </c>
      <c r="AP97" t="s">
        <v>55</v>
      </c>
      <c r="AQ97" t="s">
        <v>58</v>
      </c>
      <c r="AR97" t="s">
        <v>55</v>
      </c>
      <c r="AT97" t="str">
        <f t="shared" si="28"/>
        <v>raczej nie</v>
      </c>
      <c r="AU97" t="str">
        <f t="shared" si="29"/>
        <v>od 170 do 199 godzin</v>
      </c>
      <c r="AV97">
        <f t="shared" si="30"/>
        <v>199</v>
      </c>
      <c r="AW97">
        <f t="shared" si="31"/>
        <v>-1</v>
      </c>
    </row>
    <row r="98" spans="1:49" x14ac:dyDescent="0.2">
      <c r="A98" t="s">
        <v>181</v>
      </c>
      <c r="B98" t="s">
        <v>45</v>
      </c>
      <c r="C98" t="s">
        <v>46</v>
      </c>
      <c r="D98" t="s">
        <v>121</v>
      </c>
      <c r="E98" t="s">
        <v>103</v>
      </c>
      <c r="F98" t="s">
        <v>49</v>
      </c>
      <c r="G98" t="s">
        <v>68</v>
      </c>
      <c r="H98" t="s">
        <v>90</v>
      </c>
      <c r="I98" t="s">
        <v>70</v>
      </c>
      <c r="J98" t="s">
        <v>53</v>
      </c>
      <c r="K98" t="s">
        <v>54</v>
      </c>
      <c r="L98" t="s">
        <v>57</v>
      </c>
      <c r="M98" t="s">
        <v>51</v>
      </c>
      <c r="N98" t="s">
        <v>57</v>
      </c>
      <c r="O98" t="s">
        <v>104</v>
      </c>
      <c r="P98" t="s">
        <v>55</v>
      </c>
      <c r="Q98" t="s">
        <v>59</v>
      </c>
      <c r="R98" t="s">
        <v>55</v>
      </c>
      <c r="S98" t="s">
        <v>57</v>
      </c>
      <c r="T98" t="s">
        <v>59</v>
      </c>
      <c r="U98" t="s">
        <v>57</v>
      </c>
      <c r="V98" t="s">
        <v>73</v>
      </c>
      <c r="W98" t="s">
        <v>58</v>
      </c>
      <c r="X98" t="s">
        <v>59</v>
      </c>
      <c r="Y98" t="s">
        <v>57</v>
      </c>
      <c r="Z98" t="s">
        <v>58</v>
      </c>
      <c r="AA98" t="s">
        <v>73</v>
      </c>
      <c r="AB98" t="s">
        <v>57</v>
      </c>
      <c r="AC98" t="s">
        <v>55</v>
      </c>
      <c r="AD98" t="s">
        <v>58</v>
      </c>
      <c r="AE98" t="s">
        <v>58</v>
      </c>
      <c r="AF98" t="s">
        <v>60</v>
      </c>
      <c r="AG98" t="s">
        <v>58</v>
      </c>
      <c r="AH98" t="s">
        <v>61</v>
      </c>
      <c r="AI98" t="s">
        <v>59</v>
      </c>
      <c r="AJ98" t="s">
        <v>58</v>
      </c>
      <c r="AK98" t="s">
        <v>59</v>
      </c>
      <c r="AL98" t="s">
        <v>57</v>
      </c>
      <c r="AM98" t="s">
        <v>57</v>
      </c>
      <c r="AN98" t="s">
        <v>81</v>
      </c>
      <c r="AO98" t="s">
        <v>73</v>
      </c>
      <c r="AP98" t="s">
        <v>55</v>
      </c>
      <c r="AQ98" t="s">
        <v>57</v>
      </c>
      <c r="AR98" t="s">
        <v>57</v>
      </c>
      <c r="AT98" t="str">
        <f t="shared" si="28"/>
        <v>raczej tak</v>
      </c>
      <c r="AU98" t="str">
        <f t="shared" si="29"/>
        <v>od 170 do 199 godzin</v>
      </c>
      <c r="AV98">
        <f t="shared" si="30"/>
        <v>199</v>
      </c>
      <c r="AW98">
        <f t="shared" si="31"/>
        <v>1</v>
      </c>
    </row>
    <row r="99" spans="1:49" x14ac:dyDescent="0.2">
      <c r="A99" t="s">
        <v>205</v>
      </c>
      <c r="B99" t="s">
        <v>45</v>
      </c>
      <c r="C99" t="s">
        <v>46</v>
      </c>
      <c r="D99" t="s">
        <v>88</v>
      </c>
      <c r="E99" t="s">
        <v>126</v>
      </c>
      <c r="F99" t="s">
        <v>49</v>
      </c>
      <c r="G99" t="s">
        <v>97</v>
      </c>
      <c r="H99" t="s">
        <v>90</v>
      </c>
      <c r="I99" t="s">
        <v>52</v>
      </c>
      <c r="J99" t="s">
        <v>53</v>
      </c>
      <c r="K99" t="s">
        <v>54</v>
      </c>
      <c r="L99" t="s">
        <v>57</v>
      </c>
      <c r="M99" t="s">
        <v>51</v>
      </c>
      <c r="N99" t="s">
        <v>73</v>
      </c>
      <c r="O99" t="s">
        <v>85</v>
      </c>
      <c r="P99" t="s">
        <v>73</v>
      </c>
      <c r="Q99" t="s">
        <v>57</v>
      </c>
      <c r="R99" t="s">
        <v>55</v>
      </c>
      <c r="S99" t="s">
        <v>57</v>
      </c>
      <c r="T99" t="s">
        <v>59</v>
      </c>
      <c r="U99" t="s">
        <v>57</v>
      </c>
      <c r="V99" t="s">
        <v>55</v>
      </c>
      <c r="W99" t="s">
        <v>57</v>
      </c>
      <c r="X99" t="s">
        <v>57</v>
      </c>
      <c r="Y99" t="s">
        <v>58</v>
      </c>
      <c r="Z99" t="s">
        <v>57</v>
      </c>
      <c r="AA99" t="s">
        <v>57</v>
      </c>
      <c r="AB99" t="s">
        <v>57</v>
      </c>
      <c r="AC99" t="s">
        <v>55</v>
      </c>
      <c r="AD99" t="s">
        <v>57</v>
      </c>
      <c r="AE99" t="s">
        <v>57</v>
      </c>
      <c r="AF99" t="s">
        <v>60</v>
      </c>
      <c r="AG99" t="s">
        <v>57</v>
      </c>
      <c r="AH99" t="s">
        <v>61</v>
      </c>
      <c r="AI99" t="s">
        <v>59</v>
      </c>
      <c r="AJ99" t="s">
        <v>55</v>
      </c>
      <c r="AK99" t="s">
        <v>59</v>
      </c>
      <c r="AL99" t="s">
        <v>57</v>
      </c>
      <c r="AM99" t="s">
        <v>57</v>
      </c>
      <c r="AN99" t="s">
        <v>81</v>
      </c>
      <c r="AO99" t="s">
        <v>55</v>
      </c>
      <c r="AP99" t="s">
        <v>73</v>
      </c>
      <c r="AQ99" t="s">
        <v>57</v>
      </c>
      <c r="AR99" t="s">
        <v>73</v>
      </c>
      <c r="AT99" t="str">
        <f t="shared" si="28"/>
        <v>raczej tak</v>
      </c>
      <c r="AU99" t="str">
        <f t="shared" si="29"/>
        <v>od 170 do 199 godzin</v>
      </c>
      <c r="AV99">
        <f t="shared" si="30"/>
        <v>199</v>
      </c>
      <c r="AW99">
        <f t="shared" si="31"/>
        <v>1</v>
      </c>
    </row>
    <row r="100" spans="1:49" x14ac:dyDescent="0.2">
      <c r="A100" t="s">
        <v>218</v>
      </c>
      <c r="B100" t="s">
        <v>45</v>
      </c>
      <c r="C100" t="s">
        <v>46</v>
      </c>
      <c r="D100" t="s">
        <v>121</v>
      </c>
      <c r="E100" t="s">
        <v>219</v>
      </c>
      <c r="F100" t="s">
        <v>49</v>
      </c>
      <c r="G100" t="s">
        <v>93</v>
      </c>
      <c r="H100" t="s">
        <v>90</v>
      </c>
      <c r="I100" t="s">
        <v>52</v>
      </c>
      <c r="J100" t="s">
        <v>53</v>
      </c>
      <c r="K100" t="s">
        <v>54</v>
      </c>
      <c r="L100" t="s">
        <v>57</v>
      </c>
      <c r="M100" t="s">
        <v>132</v>
      </c>
      <c r="N100" t="s">
        <v>85</v>
      </c>
      <c r="O100" t="s">
        <v>57</v>
      </c>
      <c r="P100" t="s">
        <v>57</v>
      </c>
      <c r="Q100" t="s">
        <v>58</v>
      </c>
      <c r="R100" t="s">
        <v>55</v>
      </c>
      <c r="S100" t="s">
        <v>55</v>
      </c>
      <c r="T100" t="s">
        <v>55</v>
      </c>
      <c r="U100" t="s">
        <v>59</v>
      </c>
      <c r="V100" t="s">
        <v>55</v>
      </c>
      <c r="W100" t="s">
        <v>57</v>
      </c>
      <c r="X100" t="s">
        <v>59</v>
      </c>
      <c r="Y100" t="s">
        <v>58</v>
      </c>
      <c r="Z100" t="s">
        <v>73</v>
      </c>
      <c r="AA100" t="s">
        <v>57</v>
      </c>
      <c r="AB100" t="s">
        <v>58</v>
      </c>
      <c r="AC100" t="s">
        <v>73</v>
      </c>
      <c r="AD100" t="s">
        <v>58</v>
      </c>
      <c r="AE100" t="s">
        <v>57</v>
      </c>
      <c r="AF100" t="s">
        <v>60</v>
      </c>
      <c r="AG100" t="s">
        <v>57</v>
      </c>
      <c r="AH100" t="s">
        <v>61</v>
      </c>
      <c r="AI100" t="s">
        <v>59</v>
      </c>
      <c r="AJ100" t="s">
        <v>57</v>
      </c>
      <c r="AK100" t="s">
        <v>59</v>
      </c>
      <c r="AL100" t="s">
        <v>57</v>
      </c>
      <c r="AM100" t="s">
        <v>55</v>
      </c>
      <c r="AN100" t="s">
        <v>62</v>
      </c>
      <c r="AO100" t="s">
        <v>59</v>
      </c>
      <c r="AP100" t="s">
        <v>55</v>
      </c>
      <c r="AQ100" t="s">
        <v>73</v>
      </c>
      <c r="AR100" t="s">
        <v>55</v>
      </c>
      <c r="AT100" t="str">
        <f t="shared" si="28"/>
        <v>raczej tak</v>
      </c>
      <c r="AU100" t="str">
        <f t="shared" si="29"/>
        <v>od 170 do 199 godzin</v>
      </c>
      <c r="AV100">
        <f t="shared" si="30"/>
        <v>199</v>
      </c>
      <c r="AW100">
        <f t="shared" si="31"/>
        <v>1</v>
      </c>
    </row>
    <row r="101" spans="1:49" x14ac:dyDescent="0.2">
      <c r="A101" t="s">
        <v>220</v>
      </c>
      <c r="B101" t="s">
        <v>45</v>
      </c>
      <c r="C101" t="s">
        <v>46</v>
      </c>
      <c r="D101" t="s">
        <v>121</v>
      </c>
      <c r="E101" t="s">
        <v>113</v>
      </c>
      <c r="F101" t="s">
        <v>49</v>
      </c>
      <c r="G101" t="s">
        <v>93</v>
      </c>
      <c r="H101" t="s">
        <v>90</v>
      </c>
      <c r="I101" t="s">
        <v>52</v>
      </c>
      <c r="J101" t="s">
        <v>53</v>
      </c>
      <c r="K101" t="s">
        <v>54</v>
      </c>
      <c r="L101" t="s">
        <v>57</v>
      </c>
      <c r="M101" t="s">
        <v>51</v>
      </c>
      <c r="N101" t="s">
        <v>57</v>
      </c>
      <c r="O101" t="s">
        <v>85</v>
      </c>
      <c r="P101" t="s">
        <v>59</v>
      </c>
      <c r="Q101" t="s">
        <v>57</v>
      </c>
      <c r="R101" t="s">
        <v>73</v>
      </c>
      <c r="S101" t="s">
        <v>73</v>
      </c>
      <c r="T101" t="s">
        <v>57</v>
      </c>
      <c r="U101" t="s">
        <v>57</v>
      </c>
      <c r="V101" t="s">
        <v>58</v>
      </c>
      <c r="W101" t="s">
        <v>57</v>
      </c>
      <c r="X101" t="s">
        <v>59</v>
      </c>
      <c r="Y101" t="s">
        <v>57</v>
      </c>
      <c r="Z101" t="s">
        <v>58</v>
      </c>
      <c r="AA101" t="s">
        <v>73</v>
      </c>
      <c r="AB101" t="s">
        <v>58</v>
      </c>
      <c r="AC101" t="s">
        <v>58</v>
      </c>
      <c r="AD101" t="s">
        <v>55</v>
      </c>
      <c r="AE101" t="s">
        <v>55</v>
      </c>
      <c r="AF101" t="s">
        <v>60</v>
      </c>
      <c r="AG101" t="s">
        <v>55</v>
      </c>
      <c r="AH101" t="s">
        <v>61</v>
      </c>
      <c r="AI101" t="s">
        <v>55</v>
      </c>
      <c r="AJ101" t="s">
        <v>58</v>
      </c>
      <c r="AK101" t="s">
        <v>57</v>
      </c>
      <c r="AL101" t="s">
        <v>57</v>
      </c>
      <c r="AM101" t="s">
        <v>58</v>
      </c>
      <c r="AN101" t="s">
        <v>62</v>
      </c>
      <c r="AO101" t="s">
        <v>59</v>
      </c>
      <c r="AP101" t="s">
        <v>57</v>
      </c>
      <c r="AQ101" t="s">
        <v>55</v>
      </c>
      <c r="AR101" t="s">
        <v>59</v>
      </c>
      <c r="AT101" t="str">
        <f t="shared" si="28"/>
        <v>raczej tak</v>
      </c>
      <c r="AU101" t="str">
        <f t="shared" si="29"/>
        <v>od 170 do 199 godzin</v>
      </c>
      <c r="AV101">
        <f t="shared" si="30"/>
        <v>199</v>
      </c>
      <c r="AW101">
        <f t="shared" si="31"/>
        <v>1</v>
      </c>
    </row>
    <row r="102" spans="1:49" x14ac:dyDescent="0.2">
      <c r="A102" t="s">
        <v>221</v>
      </c>
      <c r="B102" t="s">
        <v>45</v>
      </c>
      <c r="C102" t="s">
        <v>46</v>
      </c>
      <c r="D102" t="s">
        <v>121</v>
      </c>
      <c r="E102" t="s">
        <v>113</v>
      </c>
      <c r="F102" t="s">
        <v>49</v>
      </c>
      <c r="G102" t="s">
        <v>93</v>
      </c>
      <c r="H102" t="s">
        <v>90</v>
      </c>
      <c r="I102" t="s">
        <v>52</v>
      </c>
      <c r="J102" t="s">
        <v>53</v>
      </c>
      <c r="K102" t="s">
        <v>80</v>
      </c>
      <c r="L102" t="s">
        <v>58</v>
      </c>
      <c r="M102" t="s">
        <v>132</v>
      </c>
      <c r="N102" t="s">
        <v>58</v>
      </c>
      <c r="O102" t="s">
        <v>85</v>
      </c>
      <c r="P102" t="s">
        <v>59</v>
      </c>
      <c r="Q102" t="s">
        <v>57</v>
      </c>
      <c r="R102" t="s">
        <v>55</v>
      </c>
      <c r="S102" t="s">
        <v>55</v>
      </c>
      <c r="T102" t="s">
        <v>59</v>
      </c>
      <c r="U102" t="s">
        <v>55</v>
      </c>
      <c r="V102" t="s">
        <v>55</v>
      </c>
      <c r="W102" t="s">
        <v>58</v>
      </c>
      <c r="X102" t="s">
        <v>55</v>
      </c>
      <c r="Y102" t="s">
        <v>57</v>
      </c>
      <c r="Z102" t="s">
        <v>58</v>
      </c>
      <c r="AA102" t="s">
        <v>58</v>
      </c>
      <c r="AB102" t="s">
        <v>58</v>
      </c>
      <c r="AC102" t="s">
        <v>55</v>
      </c>
      <c r="AD102" t="s">
        <v>58</v>
      </c>
      <c r="AE102" t="s">
        <v>57</v>
      </c>
      <c r="AF102" t="s">
        <v>60</v>
      </c>
      <c r="AG102" t="s">
        <v>57</v>
      </c>
      <c r="AH102" t="s">
        <v>61</v>
      </c>
      <c r="AI102" t="s">
        <v>59</v>
      </c>
      <c r="AJ102" t="s">
        <v>57</v>
      </c>
      <c r="AK102" t="s">
        <v>59</v>
      </c>
      <c r="AL102" t="s">
        <v>58</v>
      </c>
      <c r="AM102" t="s">
        <v>55</v>
      </c>
      <c r="AN102" t="s">
        <v>62</v>
      </c>
      <c r="AO102" t="s">
        <v>57</v>
      </c>
      <c r="AP102" t="s">
        <v>59</v>
      </c>
      <c r="AQ102" t="s">
        <v>58</v>
      </c>
      <c r="AR102" t="s">
        <v>58</v>
      </c>
      <c r="AT102" t="str">
        <f t="shared" si="28"/>
        <v>zdecydowanie tak</v>
      </c>
      <c r="AU102" t="str">
        <f t="shared" si="29"/>
        <v>od 170 do 199 godzin</v>
      </c>
      <c r="AV102">
        <f t="shared" si="30"/>
        <v>199</v>
      </c>
      <c r="AW102">
        <f t="shared" si="31"/>
        <v>2</v>
      </c>
    </row>
    <row r="103" spans="1:49" x14ac:dyDescent="0.2">
      <c r="A103" t="s">
        <v>223</v>
      </c>
      <c r="B103" t="s">
        <v>45</v>
      </c>
      <c r="C103" t="s">
        <v>46</v>
      </c>
      <c r="D103" t="s">
        <v>121</v>
      </c>
      <c r="E103" t="s">
        <v>48</v>
      </c>
      <c r="F103" t="s">
        <v>49</v>
      </c>
      <c r="G103" t="s">
        <v>89</v>
      </c>
      <c r="H103" t="s">
        <v>90</v>
      </c>
      <c r="I103" t="s">
        <v>52</v>
      </c>
      <c r="J103" t="s">
        <v>53</v>
      </c>
      <c r="K103" t="s">
        <v>54</v>
      </c>
      <c r="L103" t="s">
        <v>57</v>
      </c>
      <c r="M103" t="s">
        <v>99</v>
      </c>
      <c r="N103" t="s">
        <v>57</v>
      </c>
      <c r="O103" t="s">
        <v>73</v>
      </c>
      <c r="P103" t="s">
        <v>57</v>
      </c>
      <c r="Q103" t="s">
        <v>55</v>
      </c>
      <c r="R103" t="s">
        <v>59</v>
      </c>
      <c r="S103" t="s">
        <v>58</v>
      </c>
      <c r="T103" t="s">
        <v>55</v>
      </c>
      <c r="U103" t="s">
        <v>57</v>
      </c>
      <c r="V103" t="s">
        <v>55</v>
      </c>
      <c r="W103" t="s">
        <v>55</v>
      </c>
      <c r="X103" t="s">
        <v>59</v>
      </c>
      <c r="Y103" t="s">
        <v>58</v>
      </c>
      <c r="Z103" t="s">
        <v>57</v>
      </c>
      <c r="AA103" t="s">
        <v>57</v>
      </c>
      <c r="AB103" t="s">
        <v>57</v>
      </c>
      <c r="AC103" t="s">
        <v>57</v>
      </c>
      <c r="AD103" t="s">
        <v>57</v>
      </c>
      <c r="AE103" t="s">
        <v>55</v>
      </c>
      <c r="AF103" t="s">
        <v>60</v>
      </c>
      <c r="AG103" t="s">
        <v>57</v>
      </c>
      <c r="AH103" t="s">
        <v>61</v>
      </c>
      <c r="AI103" t="s">
        <v>55</v>
      </c>
      <c r="AJ103" t="s">
        <v>73</v>
      </c>
      <c r="AK103" t="s">
        <v>73</v>
      </c>
      <c r="AL103" t="s">
        <v>57</v>
      </c>
      <c r="AM103" t="s">
        <v>58</v>
      </c>
      <c r="AN103" t="s">
        <v>81</v>
      </c>
      <c r="AO103" t="s">
        <v>73</v>
      </c>
      <c r="AP103" t="s">
        <v>73</v>
      </c>
      <c r="AQ103" t="s">
        <v>55</v>
      </c>
      <c r="AR103" t="s">
        <v>57</v>
      </c>
      <c r="AT103" t="str">
        <f t="shared" si="28"/>
        <v>raczej tak</v>
      </c>
      <c r="AU103" t="str">
        <f t="shared" si="29"/>
        <v>od 170 do 199 godzin</v>
      </c>
      <c r="AV103">
        <f t="shared" si="30"/>
        <v>199</v>
      </c>
      <c r="AW103">
        <f t="shared" si="31"/>
        <v>1</v>
      </c>
    </row>
    <row r="104" spans="1:49" x14ac:dyDescent="0.2">
      <c r="A104" t="s">
        <v>108</v>
      </c>
      <c r="B104" t="s">
        <v>45</v>
      </c>
      <c r="C104" t="s">
        <v>46</v>
      </c>
      <c r="D104" t="s">
        <v>47</v>
      </c>
      <c r="E104" t="s">
        <v>103</v>
      </c>
      <c r="F104" t="s">
        <v>49</v>
      </c>
      <c r="G104" t="s">
        <v>89</v>
      </c>
      <c r="H104" t="s">
        <v>90</v>
      </c>
      <c r="I104" t="s">
        <v>70</v>
      </c>
      <c r="J104" t="s">
        <v>84</v>
      </c>
      <c r="K104" t="s">
        <v>80</v>
      </c>
      <c r="L104" t="s">
        <v>58</v>
      </c>
      <c r="M104" t="s">
        <v>99</v>
      </c>
      <c r="N104" t="s">
        <v>57</v>
      </c>
      <c r="O104" t="s">
        <v>104</v>
      </c>
      <c r="P104" t="s">
        <v>57</v>
      </c>
      <c r="Q104" t="s">
        <v>55</v>
      </c>
      <c r="R104" t="s">
        <v>55</v>
      </c>
      <c r="S104" t="s">
        <v>55</v>
      </c>
      <c r="T104" t="s">
        <v>59</v>
      </c>
      <c r="U104" t="s">
        <v>57</v>
      </c>
      <c r="V104" t="s">
        <v>73</v>
      </c>
      <c r="W104" t="s">
        <v>55</v>
      </c>
      <c r="X104" t="s">
        <v>59</v>
      </c>
      <c r="Y104" t="s">
        <v>57</v>
      </c>
      <c r="Z104" t="s">
        <v>55</v>
      </c>
      <c r="AA104" t="s">
        <v>57</v>
      </c>
      <c r="AB104" t="s">
        <v>57</v>
      </c>
      <c r="AC104" t="s">
        <v>55</v>
      </c>
      <c r="AD104" t="s">
        <v>55</v>
      </c>
      <c r="AE104" t="s">
        <v>57</v>
      </c>
      <c r="AF104" t="s">
        <v>94</v>
      </c>
      <c r="AG104" t="s">
        <v>58</v>
      </c>
      <c r="AH104" t="s">
        <v>61</v>
      </c>
      <c r="AI104" t="s">
        <v>55</v>
      </c>
      <c r="AJ104" t="s">
        <v>55</v>
      </c>
      <c r="AK104" t="s">
        <v>59</v>
      </c>
      <c r="AL104" t="s">
        <v>57</v>
      </c>
      <c r="AM104" t="s">
        <v>55</v>
      </c>
      <c r="AN104" t="s">
        <v>81</v>
      </c>
      <c r="AO104" t="s">
        <v>57</v>
      </c>
      <c r="AP104" t="s">
        <v>55</v>
      </c>
      <c r="AQ104" t="s">
        <v>58</v>
      </c>
      <c r="AR104" t="s">
        <v>57</v>
      </c>
      <c r="AT104" t="str">
        <f t="shared" si="28"/>
        <v>raczej tak</v>
      </c>
      <c r="AU104" t="str">
        <f t="shared" si="29"/>
        <v>od 200 do 239 godzin</v>
      </c>
      <c r="AV104">
        <f t="shared" si="30"/>
        <v>239</v>
      </c>
      <c r="AW104">
        <f t="shared" si="31"/>
        <v>1</v>
      </c>
    </row>
    <row r="105" spans="1:49" x14ac:dyDescent="0.2">
      <c r="A105" t="s">
        <v>144</v>
      </c>
      <c r="B105" t="s">
        <v>45</v>
      </c>
      <c r="C105" t="s">
        <v>46</v>
      </c>
      <c r="D105" t="s">
        <v>47</v>
      </c>
      <c r="E105" t="s">
        <v>113</v>
      </c>
      <c r="F105" t="s">
        <v>77</v>
      </c>
      <c r="G105" t="s">
        <v>97</v>
      </c>
      <c r="H105" t="s">
        <v>51</v>
      </c>
      <c r="I105" t="s">
        <v>70</v>
      </c>
      <c r="J105" t="s">
        <v>84</v>
      </c>
      <c r="K105" t="s">
        <v>54</v>
      </c>
      <c r="L105" t="s">
        <v>58</v>
      </c>
      <c r="M105" t="s">
        <v>99</v>
      </c>
      <c r="N105" t="s">
        <v>85</v>
      </c>
      <c r="O105" t="s">
        <v>57</v>
      </c>
      <c r="P105" t="s">
        <v>55</v>
      </c>
      <c r="Q105" t="s">
        <v>57</v>
      </c>
      <c r="R105" t="s">
        <v>55</v>
      </c>
      <c r="S105" t="s">
        <v>55</v>
      </c>
      <c r="T105" t="s">
        <v>55</v>
      </c>
      <c r="U105" t="s">
        <v>55</v>
      </c>
      <c r="V105" t="s">
        <v>58</v>
      </c>
      <c r="W105" t="s">
        <v>58</v>
      </c>
      <c r="X105" t="s">
        <v>58</v>
      </c>
      <c r="Y105" t="s">
        <v>57</v>
      </c>
      <c r="Z105" t="s">
        <v>55</v>
      </c>
      <c r="AA105" t="s">
        <v>57</v>
      </c>
      <c r="AB105" t="s">
        <v>55</v>
      </c>
      <c r="AC105" t="s">
        <v>55</v>
      </c>
      <c r="AD105" t="s">
        <v>57</v>
      </c>
      <c r="AE105" t="s">
        <v>57</v>
      </c>
      <c r="AF105" t="s">
        <v>60</v>
      </c>
      <c r="AG105" t="s">
        <v>57</v>
      </c>
      <c r="AH105" t="s">
        <v>61</v>
      </c>
      <c r="AI105" t="s">
        <v>59</v>
      </c>
      <c r="AJ105" t="s">
        <v>73</v>
      </c>
      <c r="AK105" t="s">
        <v>55</v>
      </c>
      <c r="AL105" t="s">
        <v>58</v>
      </c>
      <c r="AM105" t="s">
        <v>59</v>
      </c>
      <c r="AN105" t="s">
        <v>62</v>
      </c>
      <c r="AO105" t="s">
        <v>58</v>
      </c>
      <c r="AP105" t="s">
        <v>55</v>
      </c>
      <c r="AQ105" t="s">
        <v>58</v>
      </c>
      <c r="AR105" t="s">
        <v>57</v>
      </c>
      <c r="AT105" t="str">
        <f t="shared" si="28"/>
        <v>zdecydowanie tak</v>
      </c>
      <c r="AU105" t="str">
        <f t="shared" si="29"/>
        <v>od 200 do 239 godzin</v>
      </c>
      <c r="AV105">
        <f t="shared" si="30"/>
        <v>239</v>
      </c>
      <c r="AW105">
        <f t="shared" si="31"/>
        <v>2</v>
      </c>
    </row>
    <row r="106" spans="1:49" x14ac:dyDescent="0.2">
      <c r="A106" t="s">
        <v>149</v>
      </c>
      <c r="B106" t="s">
        <v>45</v>
      </c>
      <c r="C106" t="s">
        <v>46</v>
      </c>
      <c r="D106" t="s">
        <v>88</v>
      </c>
      <c r="E106" t="s">
        <v>103</v>
      </c>
      <c r="F106" t="s">
        <v>49</v>
      </c>
      <c r="G106" t="s">
        <v>89</v>
      </c>
      <c r="H106" t="s">
        <v>90</v>
      </c>
      <c r="I106" t="s">
        <v>52</v>
      </c>
      <c r="J106" t="s">
        <v>84</v>
      </c>
      <c r="K106" t="s">
        <v>54</v>
      </c>
      <c r="L106" t="s">
        <v>57</v>
      </c>
      <c r="M106" t="s">
        <v>56</v>
      </c>
      <c r="N106" t="s">
        <v>57</v>
      </c>
      <c r="O106" t="s">
        <v>57</v>
      </c>
      <c r="P106" t="s">
        <v>57</v>
      </c>
      <c r="Q106" t="s">
        <v>57</v>
      </c>
      <c r="R106" t="s">
        <v>58</v>
      </c>
      <c r="S106" t="s">
        <v>57</v>
      </c>
      <c r="T106" t="s">
        <v>55</v>
      </c>
      <c r="U106" t="s">
        <v>57</v>
      </c>
      <c r="V106" t="s">
        <v>58</v>
      </c>
      <c r="W106" t="s">
        <v>55</v>
      </c>
      <c r="X106" t="s">
        <v>59</v>
      </c>
      <c r="Y106" t="s">
        <v>57</v>
      </c>
      <c r="Z106" t="s">
        <v>58</v>
      </c>
      <c r="AA106" t="s">
        <v>58</v>
      </c>
      <c r="AB106" t="s">
        <v>57</v>
      </c>
      <c r="AC106" t="s">
        <v>58</v>
      </c>
      <c r="AD106" t="s">
        <v>55</v>
      </c>
      <c r="AE106" t="s">
        <v>57</v>
      </c>
      <c r="AF106" t="s">
        <v>60</v>
      </c>
      <c r="AG106" t="s">
        <v>58</v>
      </c>
      <c r="AH106" t="s">
        <v>61</v>
      </c>
      <c r="AI106" t="s">
        <v>59</v>
      </c>
      <c r="AJ106" t="s">
        <v>55</v>
      </c>
      <c r="AK106" t="s">
        <v>55</v>
      </c>
      <c r="AL106" t="s">
        <v>58</v>
      </c>
      <c r="AM106" t="s">
        <v>55</v>
      </c>
      <c r="AN106" t="s">
        <v>81</v>
      </c>
      <c r="AO106" t="s">
        <v>55</v>
      </c>
      <c r="AP106" t="s">
        <v>57</v>
      </c>
      <c r="AQ106" t="s">
        <v>57</v>
      </c>
      <c r="AR106" t="s">
        <v>55</v>
      </c>
      <c r="AT106" t="str">
        <f t="shared" si="28"/>
        <v>zdecydowanie tak</v>
      </c>
      <c r="AU106" t="str">
        <f t="shared" si="29"/>
        <v>od 200 do 239 godzin</v>
      </c>
      <c r="AV106">
        <f t="shared" si="30"/>
        <v>239</v>
      </c>
      <c r="AW106">
        <f t="shared" si="31"/>
        <v>2</v>
      </c>
    </row>
    <row r="107" spans="1:49" x14ac:dyDescent="0.2">
      <c r="A107" t="s">
        <v>159</v>
      </c>
      <c r="B107" t="s">
        <v>45</v>
      </c>
      <c r="C107" t="s">
        <v>46</v>
      </c>
      <c r="D107" t="s">
        <v>88</v>
      </c>
      <c r="E107" t="s">
        <v>113</v>
      </c>
      <c r="F107" t="s">
        <v>92</v>
      </c>
      <c r="G107" t="s">
        <v>89</v>
      </c>
      <c r="H107" t="s">
        <v>90</v>
      </c>
      <c r="I107" t="s">
        <v>52</v>
      </c>
      <c r="J107" t="s">
        <v>84</v>
      </c>
      <c r="K107" t="s">
        <v>54</v>
      </c>
      <c r="L107" t="s">
        <v>58</v>
      </c>
      <c r="M107" t="s">
        <v>51</v>
      </c>
      <c r="N107" t="s">
        <v>58</v>
      </c>
      <c r="O107" t="s">
        <v>104</v>
      </c>
      <c r="P107" t="s">
        <v>55</v>
      </c>
      <c r="Q107" t="s">
        <v>59</v>
      </c>
      <c r="R107" t="s">
        <v>59</v>
      </c>
      <c r="S107" t="s">
        <v>58</v>
      </c>
      <c r="T107" t="s">
        <v>59</v>
      </c>
      <c r="U107" t="s">
        <v>59</v>
      </c>
      <c r="V107" t="s">
        <v>59</v>
      </c>
      <c r="W107" t="s">
        <v>57</v>
      </c>
      <c r="X107" t="s">
        <v>59</v>
      </c>
      <c r="Y107" t="s">
        <v>59</v>
      </c>
      <c r="Z107" t="s">
        <v>59</v>
      </c>
      <c r="AA107" t="s">
        <v>55</v>
      </c>
      <c r="AB107" t="s">
        <v>59</v>
      </c>
      <c r="AC107" t="s">
        <v>59</v>
      </c>
      <c r="AD107" t="s">
        <v>58</v>
      </c>
      <c r="AE107" t="s">
        <v>58</v>
      </c>
      <c r="AF107" t="s">
        <v>60</v>
      </c>
      <c r="AG107" t="s">
        <v>58</v>
      </c>
      <c r="AH107" t="s">
        <v>61</v>
      </c>
      <c r="AI107" t="s">
        <v>59</v>
      </c>
      <c r="AJ107" t="s">
        <v>59</v>
      </c>
      <c r="AK107" t="s">
        <v>59</v>
      </c>
      <c r="AL107" t="s">
        <v>57</v>
      </c>
      <c r="AM107" t="s">
        <v>58</v>
      </c>
      <c r="AN107" t="s">
        <v>81</v>
      </c>
      <c r="AO107" t="s">
        <v>73</v>
      </c>
      <c r="AP107" t="s">
        <v>59</v>
      </c>
      <c r="AQ107" t="s">
        <v>58</v>
      </c>
      <c r="AR107" t="s">
        <v>58</v>
      </c>
      <c r="AT107" t="str">
        <f t="shared" si="28"/>
        <v>raczej tak</v>
      </c>
      <c r="AU107" t="str">
        <f t="shared" si="29"/>
        <v>od 200 do 239 godzin</v>
      </c>
      <c r="AV107">
        <f t="shared" si="30"/>
        <v>239</v>
      </c>
      <c r="AW107">
        <f t="shared" si="31"/>
        <v>1</v>
      </c>
    </row>
    <row r="108" spans="1:49" x14ac:dyDescent="0.2">
      <c r="A108" t="s">
        <v>180</v>
      </c>
      <c r="B108" t="s">
        <v>45</v>
      </c>
      <c r="C108" t="s">
        <v>46</v>
      </c>
      <c r="D108" t="s">
        <v>121</v>
      </c>
      <c r="E108" t="s">
        <v>113</v>
      </c>
      <c r="F108" t="s">
        <v>49</v>
      </c>
      <c r="G108" t="s">
        <v>68</v>
      </c>
      <c r="H108" t="s">
        <v>90</v>
      </c>
      <c r="I108" t="s">
        <v>114</v>
      </c>
      <c r="J108" t="s">
        <v>84</v>
      </c>
      <c r="K108" t="s">
        <v>54</v>
      </c>
      <c r="L108" t="s">
        <v>57</v>
      </c>
      <c r="M108" t="s">
        <v>51</v>
      </c>
      <c r="N108" t="s">
        <v>73</v>
      </c>
      <c r="O108" t="s">
        <v>85</v>
      </c>
      <c r="P108" t="s">
        <v>59</v>
      </c>
      <c r="Q108" t="s">
        <v>55</v>
      </c>
      <c r="R108" t="s">
        <v>55</v>
      </c>
      <c r="S108" t="s">
        <v>57</v>
      </c>
      <c r="T108" t="s">
        <v>55</v>
      </c>
      <c r="U108" t="s">
        <v>55</v>
      </c>
      <c r="V108" t="s">
        <v>55</v>
      </c>
      <c r="W108" t="s">
        <v>57</v>
      </c>
      <c r="X108" t="s">
        <v>55</v>
      </c>
      <c r="Y108" t="s">
        <v>55</v>
      </c>
      <c r="Z108" t="s">
        <v>58</v>
      </c>
      <c r="AA108" t="s">
        <v>57</v>
      </c>
      <c r="AB108" t="s">
        <v>73</v>
      </c>
      <c r="AC108" t="s">
        <v>57</v>
      </c>
      <c r="AD108" t="s">
        <v>55</v>
      </c>
      <c r="AE108" t="s">
        <v>55</v>
      </c>
      <c r="AF108" t="s">
        <v>60</v>
      </c>
      <c r="AG108" t="s">
        <v>57</v>
      </c>
      <c r="AH108" t="s">
        <v>61</v>
      </c>
      <c r="AI108" t="s">
        <v>55</v>
      </c>
      <c r="AJ108" t="s">
        <v>57</v>
      </c>
      <c r="AK108" t="s">
        <v>55</v>
      </c>
      <c r="AL108" t="s">
        <v>57</v>
      </c>
      <c r="AM108" t="s">
        <v>55</v>
      </c>
      <c r="AN108" t="s">
        <v>81</v>
      </c>
      <c r="AO108" t="s">
        <v>57</v>
      </c>
      <c r="AP108" t="s">
        <v>73</v>
      </c>
      <c r="AQ108" t="s">
        <v>57</v>
      </c>
      <c r="AR108" t="s">
        <v>57</v>
      </c>
      <c r="AT108" t="str">
        <f t="shared" si="28"/>
        <v>raczej tak</v>
      </c>
      <c r="AU108" t="str">
        <f t="shared" si="29"/>
        <v>od 200 do 239 godzin</v>
      </c>
      <c r="AV108">
        <f t="shared" si="30"/>
        <v>239</v>
      </c>
      <c r="AW108">
        <f t="shared" si="31"/>
        <v>1</v>
      </c>
    </row>
    <row r="109" spans="1:49" x14ac:dyDescent="0.2">
      <c r="A109" t="s">
        <v>188</v>
      </c>
      <c r="B109" t="s">
        <v>45</v>
      </c>
      <c r="C109" t="s">
        <v>46</v>
      </c>
      <c r="D109" t="s">
        <v>88</v>
      </c>
      <c r="E109" t="s">
        <v>103</v>
      </c>
      <c r="F109" t="s">
        <v>189</v>
      </c>
      <c r="G109" t="s">
        <v>97</v>
      </c>
      <c r="H109" t="s">
        <v>51</v>
      </c>
      <c r="I109" t="s">
        <v>52</v>
      </c>
      <c r="J109" t="s">
        <v>84</v>
      </c>
      <c r="K109" t="s">
        <v>71</v>
      </c>
      <c r="L109" t="s">
        <v>57</v>
      </c>
      <c r="M109" t="s">
        <v>56</v>
      </c>
      <c r="N109" t="s">
        <v>85</v>
      </c>
      <c r="O109" t="s">
        <v>57</v>
      </c>
      <c r="P109" t="s">
        <v>55</v>
      </c>
      <c r="Q109" t="s">
        <v>58</v>
      </c>
      <c r="R109" t="s">
        <v>57</v>
      </c>
      <c r="S109" t="s">
        <v>55</v>
      </c>
      <c r="T109" t="s">
        <v>55</v>
      </c>
      <c r="U109" t="s">
        <v>57</v>
      </c>
      <c r="V109" t="s">
        <v>57</v>
      </c>
      <c r="W109" t="s">
        <v>57</v>
      </c>
      <c r="X109" t="s">
        <v>55</v>
      </c>
      <c r="Y109" t="s">
        <v>55</v>
      </c>
      <c r="Z109" t="s">
        <v>58</v>
      </c>
      <c r="AA109" t="s">
        <v>57</v>
      </c>
      <c r="AB109" t="s">
        <v>58</v>
      </c>
      <c r="AC109" t="s">
        <v>55</v>
      </c>
      <c r="AD109" t="s">
        <v>55</v>
      </c>
      <c r="AE109" t="s">
        <v>55</v>
      </c>
      <c r="AF109" t="s">
        <v>60</v>
      </c>
      <c r="AG109" t="s">
        <v>58</v>
      </c>
      <c r="AH109" t="s">
        <v>61</v>
      </c>
      <c r="AI109" t="s">
        <v>55</v>
      </c>
      <c r="AJ109" t="s">
        <v>55</v>
      </c>
      <c r="AK109" t="s">
        <v>55</v>
      </c>
      <c r="AL109" t="s">
        <v>58</v>
      </c>
      <c r="AM109" t="s">
        <v>57</v>
      </c>
      <c r="AN109" t="s">
        <v>62</v>
      </c>
      <c r="AO109" t="s">
        <v>58</v>
      </c>
      <c r="AP109" t="s">
        <v>58</v>
      </c>
      <c r="AQ109" t="s">
        <v>55</v>
      </c>
      <c r="AR109" t="s">
        <v>55</v>
      </c>
      <c r="AT109" t="str">
        <f t="shared" si="28"/>
        <v>zdecydowanie tak</v>
      </c>
      <c r="AU109" t="str">
        <f t="shared" si="29"/>
        <v>od 200 do 239 godzin</v>
      </c>
      <c r="AV109">
        <f t="shared" si="30"/>
        <v>239</v>
      </c>
      <c r="AW109">
        <f t="shared" si="31"/>
        <v>2</v>
      </c>
    </row>
    <row r="110" spans="1:49" x14ac:dyDescent="0.2">
      <c r="A110" t="s">
        <v>195</v>
      </c>
      <c r="B110" t="s">
        <v>45</v>
      </c>
      <c r="C110" t="s">
        <v>46</v>
      </c>
      <c r="D110" t="s">
        <v>88</v>
      </c>
      <c r="E110" t="s">
        <v>103</v>
      </c>
      <c r="F110" t="s">
        <v>49</v>
      </c>
      <c r="G110" t="s">
        <v>89</v>
      </c>
      <c r="H110" t="s">
        <v>90</v>
      </c>
      <c r="I110" t="s">
        <v>52</v>
      </c>
      <c r="J110" t="s">
        <v>84</v>
      </c>
      <c r="K110" t="s">
        <v>54</v>
      </c>
      <c r="L110" t="s">
        <v>73</v>
      </c>
      <c r="M110" t="s">
        <v>51</v>
      </c>
      <c r="N110" t="s">
        <v>85</v>
      </c>
      <c r="O110" t="s">
        <v>58</v>
      </c>
      <c r="P110" t="s">
        <v>55</v>
      </c>
      <c r="Q110" t="s">
        <v>58</v>
      </c>
      <c r="R110" t="s">
        <v>57</v>
      </c>
      <c r="S110" t="s">
        <v>55</v>
      </c>
      <c r="T110" t="s">
        <v>73</v>
      </c>
      <c r="U110" t="s">
        <v>57</v>
      </c>
      <c r="V110" t="s">
        <v>73</v>
      </c>
      <c r="W110" t="s">
        <v>58</v>
      </c>
      <c r="X110" t="s">
        <v>55</v>
      </c>
      <c r="Y110" t="s">
        <v>59</v>
      </c>
      <c r="Z110" t="s">
        <v>58</v>
      </c>
      <c r="AA110" t="s">
        <v>73</v>
      </c>
      <c r="AB110" t="s">
        <v>73</v>
      </c>
      <c r="AC110" t="s">
        <v>73</v>
      </c>
      <c r="AD110" t="s">
        <v>59</v>
      </c>
      <c r="AE110" t="s">
        <v>57</v>
      </c>
      <c r="AF110" t="s">
        <v>60</v>
      </c>
      <c r="AG110" t="s">
        <v>73</v>
      </c>
      <c r="AH110" t="s">
        <v>86</v>
      </c>
      <c r="AI110" t="s">
        <v>73</v>
      </c>
      <c r="AJ110" t="s">
        <v>57</v>
      </c>
      <c r="AK110" t="s">
        <v>55</v>
      </c>
      <c r="AL110" t="s">
        <v>58</v>
      </c>
      <c r="AM110" t="s">
        <v>59</v>
      </c>
      <c r="AN110" t="s">
        <v>81</v>
      </c>
      <c r="AO110" t="s">
        <v>59</v>
      </c>
      <c r="AP110" t="s">
        <v>58</v>
      </c>
      <c r="AQ110" t="s">
        <v>55</v>
      </c>
      <c r="AR110" t="s">
        <v>59</v>
      </c>
      <c r="AT110" t="str">
        <f t="shared" si="28"/>
        <v>zdecydowanie tak</v>
      </c>
      <c r="AU110" t="str">
        <f t="shared" si="29"/>
        <v>od 200 do 239 godzin</v>
      </c>
      <c r="AV110">
        <f t="shared" si="30"/>
        <v>239</v>
      </c>
      <c r="AW110">
        <f t="shared" si="31"/>
        <v>2</v>
      </c>
    </row>
    <row r="111" spans="1:49" x14ac:dyDescent="0.2">
      <c r="A111" t="s">
        <v>201</v>
      </c>
      <c r="B111" t="s">
        <v>45</v>
      </c>
      <c r="C111" t="s">
        <v>46</v>
      </c>
      <c r="D111" t="s">
        <v>47</v>
      </c>
      <c r="E111" t="s">
        <v>103</v>
      </c>
      <c r="F111" t="s">
        <v>49</v>
      </c>
      <c r="G111" t="s">
        <v>97</v>
      </c>
      <c r="H111" t="s">
        <v>51</v>
      </c>
      <c r="I111" t="s">
        <v>52</v>
      </c>
      <c r="J111" t="s">
        <v>84</v>
      </c>
      <c r="K111" t="s">
        <v>71</v>
      </c>
      <c r="L111" t="s">
        <v>57</v>
      </c>
      <c r="M111" t="s">
        <v>51</v>
      </c>
      <c r="N111" t="s">
        <v>57</v>
      </c>
      <c r="O111" t="s">
        <v>85</v>
      </c>
      <c r="P111" t="s">
        <v>55</v>
      </c>
      <c r="Q111" t="s">
        <v>73</v>
      </c>
      <c r="R111" t="s">
        <v>55</v>
      </c>
      <c r="S111" t="s">
        <v>73</v>
      </c>
      <c r="T111" t="s">
        <v>59</v>
      </c>
      <c r="U111" t="s">
        <v>55</v>
      </c>
      <c r="V111" t="s">
        <v>57</v>
      </c>
      <c r="W111" t="s">
        <v>57</v>
      </c>
      <c r="X111" t="s">
        <v>55</v>
      </c>
      <c r="Y111" t="s">
        <v>57</v>
      </c>
      <c r="Z111" t="s">
        <v>73</v>
      </c>
      <c r="AA111" t="s">
        <v>73</v>
      </c>
      <c r="AB111" t="s">
        <v>73</v>
      </c>
      <c r="AC111" t="s">
        <v>55</v>
      </c>
      <c r="AD111" t="s">
        <v>73</v>
      </c>
      <c r="AE111" t="s">
        <v>57</v>
      </c>
      <c r="AF111" t="s">
        <v>60</v>
      </c>
      <c r="AG111" t="s">
        <v>57</v>
      </c>
      <c r="AH111" t="s">
        <v>86</v>
      </c>
      <c r="AI111" t="s">
        <v>55</v>
      </c>
      <c r="AJ111" t="s">
        <v>55</v>
      </c>
      <c r="AK111" t="s">
        <v>55</v>
      </c>
      <c r="AL111" t="s">
        <v>57</v>
      </c>
      <c r="AM111" t="s">
        <v>57</v>
      </c>
      <c r="AN111" t="s">
        <v>62</v>
      </c>
      <c r="AO111" t="s">
        <v>57</v>
      </c>
      <c r="AP111" t="s">
        <v>73</v>
      </c>
      <c r="AQ111" t="s">
        <v>57</v>
      </c>
      <c r="AR111" t="s">
        <v>57</v>
      </c>
      <c r="AT111" t="str">
        <f t="shared" si="28"/>
        <v>raczej tak</v>
      </c>
      <c r="AU111" t="str">
        <f t="shared" si="29"/>
        <v>od 200 do 239 godzin</v>
      </c>
      <c r="AV111">
        <f t="shared" si="30"/>
        <v>239</v>
      </c>
      <c r="AW111">
        <f t="shared" si="31"/>
        <v>1</v>
      </c>
    </row>
    <row r="112" spans="1:49" x14ac:dyDescent="0.2">
      <c r="A112" t="s">
        <v>105</v>
      </c>
      <c r="B112" t="s">
        <v>45</v>
      </c>
      <c r="C112" t="s">
        <v>46</v>
      </c>
      <c r="D112" t="s">
        <v>47</v>
      </c>
      <c r="E112" t="s">
        <v>103</v>
      </c>
      <c r="F112" t="s">
        <v>49</v>
      </c>
      <c r="G112" t="s">
        <v>89</v>
      </c>
      <c r="H112" t="s">
        <v>90</v>
      </c>
      <c r="I112" t="s">
        <v>52</v>
      </c>
      <c r="J112" t="s">
        <v>106</v>
      </c>
      <c r="K112" t="s">
        <v>71</v>
      </c>
      <c r="L112" t="s">
        <v>57</v>
      </c>
      <c r="M112" t="s">
        <v>99</v>
      </c>
      <c r="N112" t="s">
        <v>73</v>
      </c>
      <c r="O112" t="s">
        <v>104</v>
      </c>
      <c r="P112" t="s">
        <v>57</v>
      </c>
      <c r="Q112" t="s">
        <v>57</v>
      </c>
      <c r="R112" t="s">
        <v>57</v>
      </c>
      <c r="S112" t="s">
        <v>57</v>
      </c>
      <c r="T112" t="s">
        <v>59</v>
      </c>
      <c r="U112" t="s">
        <v>58</v>
      </c>
      <c r="V112" t="s">
        <v>55</v>
      </c>
      <c r="W112" t="s">
        <v>58</v>
      </c>
      <c r="X112" t="s">
        <v>55</v>
      </c>
      <c r="Y112" t="s">
        <v>58</v>
      </c>
      <c r="Z112" t="s">
        <v>58</v>
      </c>
      <c r="AA112" t="s">
        <v>55</v>
      </c>
      <c r="AB112" t="s">
        <v>55</v>
      </c>
      <c r="AC112" t="s">
        <v>58</v>
      </c>
      <c r="AD112" t="s">
        <v>58</v>
      </c>
      <c r="AE112" t="s">
        <v>58</v>
      </c>
      <c r="AF112" t="s">
        <v>60</v>
      </c>
      <c r="AG112" t="s">
        <v>58</v>
      </c>
      <c r="AH112" t="s">
        <v>61</v>
      </c>
      <c r="AI112" t="s">
        <v>59</v>
      </c>
      <c r="AJ112" t="s">
        <v>73</v>
      </c>
      <c r="AK112" t="s">
        <v>59</v>
      </c>
      <c r="AL112" t="s">
        <v>58</v>
      </c>
      <c r="AM112" t="s">
        <v>55</v>
      </c>
      <c r="AN112" t="s">
        <v>81</v>
      </c>
      <c r="AO112" t="s">
        <v>58</v>
      </c>
      <c r="AP112" t="s">
        <v>59</v>
      </c>
      <c r="AQ112" t="s">
        <v>58</v>
      </c>
      <c r="AR112" t="s">
        <v>73</v>
      </c>
      <c r="AT112" t="str">
        <f t="shared" si="28"/>
        <v>zdecydowanie tak</v>
      </c>
      <c r="AU112" t="str">
        <f t="shared" si="29"/>
        <v>od 240 do 259 godzin</v>
      </c>
      <c r="AV112">
        <f t="shared" si="30"/>
        <v>259</v>
      </c>
      <c r="AW112">
        <f t="shared" si="31"/>
        <v>2</v>
      </c>
    </row>
    <row r="113" spans="1:49" x14ac:dyDescent="0.2">
      <c r="A113" t="s">
        <v>206</v>
      </c>
      <c r="B113" t="s">
        <v>45</v>
      </c>
      <c r="C113" t="s">
        <v>46</v>
      </c>
      <c r="D113" t="s">
        <v>47</v>
      </c>
      <c r="E113" t="s">
        <v>111</v>
      </c>
      <c r="F113" t="s">
        <v>49</v>
      </c>
      <c r="G113" t="s">
        <v>50</v>
      </c>
      <c r="H113" t="s">
        <v>90</v>
      </c>
      <c r="I113" t="s">
        <v>52</v>
      </c>
      <c r="J113" t="s">
        <v>106</v>
      </c>
      <c r="K113" t="s">
        <v>71</v>
      </c>
      <c r="L113" t="s">
        <v>58</v>
      </c>
      <c r="M113" t="s">
        <v>51</v>
      </c>
      <c r="N113" t="s">
        <v>57</v>
      </c>
      <c r="O113" t="s">
        <v>85</v>
      </c>
      <c r="P113" t="s">
        <v>57</v>
      </c>
      <c r="Q113" t="s">
        <v>57</v>
      </c>
      <c r="R113" t="s">
        <v>59</v>
      </c>
      <c r="S113" t="s">
        <v>55</v>
      </c>
      <c r="T113" t="s">
        <v>55</v>
      </c>
      <c r="U113" t="s">
        <v>55</v>
      </c>
      <c r="V113" t="s">
        <v>55</v>
      </c>
      <c r="W113" t="s">
        <v>57</v>
      </c>
      <c r="X113" t="s">
        <v>58</v>
      </c>
      <c r="Y113" t="s">
        <v>58</v>
      </c>
      <c r="Z113" t="s">
        <v>73</v>
      </c>
      <c r="AA113" t="s">
        <v>55</v>
      </c>
      <c r="AB113" t="s">
        <v>73</v>
      </c>
      <c r="AC113" t="s">
        <v>73</v>
      </c>
      <c r="AD113" t="s">
        <v>59</v>
      </c>
      <c r="AE113" t="s">
        <v>59</v>
      </c>
      <c r="AF113" t="s">
        <v>60</v>
      </c>
      <c r="AG113" t="s">
        <v>58</v>
      </c>
      <c r="AH113" t="s">
        <v>74</v>
      </c>
      <c r="AI113" t="s">
        <v>58</v>
      </c>
      <c r="AJ113" t="s">
        <v>57</v>
      </c>
      <c r="AK113" t="s">
        <v>59</v>
      </c>
      <c r="AL113" t="s">
        <v>58</v>
      </c>
      <c r="AM113" t="s">
        <v>59</v>
      </c>
      <c r="AN113" t="s">
        <v>193</v>
      </c>
      <c r="AO113" t="s">
        <v>73</v>
      </c>
      <c r="AP113" t="s">
        <v>57</v>
      </c>
      <c r="AQ113" t="s">
        <v>73</v>
      </c>
      <c r="AR113" t="s">
        <v>73</v>
      </c>
      <c r="AT113" t="str">
        <f t="shared" si="28"/>
        <v>zdecydowanie tak</v>
      </c>
      <c r="AU113" t="str">
        <f t="shared" si="29"/>
        <v>od 240 do 259 godzin</v>
      </c>
      <c r="AV113">
        <f t="shared" si="30"/>
        <v>259</v>
      </c>
      <c r="AW113">
        <f t="shared" si="31"/>
        <v>2</v>
      </c>
    </row>
    <row r="114" spans="1:49" x14ac:dyDescent="0.2">
      <c r="A114" t="s">
        <v>117</v>
      </c>
      <c r="B114" t="s">
        <v>45</v>
      </c>
      <c r="C114" t="s">
        <v>46</v>
      </c>
      <c r="D114" t="s">
        <v>88</v>
      </c>
      <c r="E114" t="s">
        <v>96</v>
      </c>
      <c r="F114" t="s">
        <v>77</v>
      </c>
      <c r="G114" t="s">
        <v>68</v>
      </c>
      <c r="H114" t="s">
        <v>90</v>
      </c>
      <c r="I114" t="s">
        <v>114</v>
      </c>
      <c r="J114" t="s">
        <v>118</v>
      </c>
      <c r="K114" t="s">
        <v>54</v>
      </c>
      <c r="L114" t="s">
        <v>59</v>
      </c>
      <c r="M114" t="s">
        <v>51</v>
      </c>
      <c r="N114" t="s">
        <v>85</v>
      </c>
      <c r="O114" t="s">
        <v>58</v>
      </c>
      <c r="P114" t="s">
        <v>59</v>
      </c>
      <c r="Q114" t="s">
        <v>55</v>
      </c>
      <c r="R114" t="s">
        <v>55</v>
      </c>
      <c r="S114" t="s">
        <v>55</v>
      </c>
      <c r="T114" t="s">
        <v>59</v>
      </c>
      <c r="U114" t="s">
        <v>57</v>
      </c>
      <c r="V114" t="s">
        <v>58</v>
      </c>
      <c r="W114" t="s">
        <v>58</v>
      </c>
      <c r="X114" t="s">
        <v>59</v>
      </c>
      <c r="Y114" t="s">
        <v>55</v>
      </c>
      <c r="Z114" t="s">
        <v>58</v>
      </c>
      <c r="AA114" t="s">
        <v>58</v>
      </c>
      <c r="AB114" t="s">
        <v>58</v>
      </c>
      <c r="AC114" t="s">
        <v>55</v>
      </c>
      <c r="AD114" t="s">
        <v>55</v>
      </c>
      <c r="AE114" t="s">
        <v>59</v>
      </c>
      <c r="AF114" t="s">
        <v>60</v>
      </c>
      <c r="AG114" t="s">
        <v>55</v>
      </c>
      <c r="AH114" t="s">
        <v>86</v>
      </c>
      <c r="AI114" t="s">
        <v>73</v>
      </c>
      <c r="AJ114" t="s">
        <v>57</v>
      </c>
      <c r="AK114" t="s">
        <v>57</v>
      </c>
      <c r="AL114" t="s">
        <v>57</v>
      </c>
      <c r="AM114" t="s">
        <v>57</v>
      </c>
      <c r="AN114" t="s">
        <v>62</v>
      </c>
      <c r="AO114" t="s">
        <v>59</v>
      </c>
      <c r="AP114" t="s">
        <v>58</v>
      </c>
      <c r="AQ114" t="s">
        <v>59</v>
      </c>
      <c r="AR114" t="s">
        <v>59</v>
      </c>
      <c r="AT114" t="str">
        <f t="shared" si="28"/>
        <v>raczej tak</v>
      </c>
      <c r="AU114" t="str">
        <f t="shared" si="29"/>
        <v>powyżej 260 godzin</v>
      </c>
      <c r="AV114">
        <f t="shared" si="30"/>
        <v>279</v>
      </c>
      <c r="AW114">
        <f t="shared" si="31"/>
        <v>1</v>
      </c>
    </row>
    <row r="115" spans="1:49" x14ac:dyDescent="0.2">
      <c r="A115" t="s">
        <v>143</v>
      </c>
      <c r="B115" t="s">
        <v>45</v>
      </c>
      <c r="C115" t="s">
        <v>46</v>
      </c>
      <c r="D115" t="s">
        <v>47</v>
      </c>
      <c r="E115" t="s">
        <v>113</v>
      </c>
      <c r="F115" t="s">
        <v>49</v>
      </c>
      <c r="G115" t="s">
        <v>50</v>
      </c>
      <c r="H115" t="s">
        <v>90</v>
      </c>
      <c r="I115" t="s">
        <v>70</v>
      </c>
      <c r="J115" t="s">
        <v>118</v>
      </c>
      <c r="K115" t="s">
        <v>71</v>
      </c>
      <c r="L115" t="s">
        <v>57</v>
      </c>
      <c r="M115" t="s">
        <v>51</v>
      </c>
      <c r="N115" t="s">
        <v>57</v>
      </c>
      <c r="O115" t="s">
        <v>85</v>
      </c>
      <c r="P115" t="s">
        <v>59</v>
      </c>
      <c r="Q115" t="s">
        <v>58</v>
      </c>
      <c r="R115" t="s">
        <v>58</v>
      </c>
      <c r="S115" t="s">
        <v>59</v>
      </c>
      <c r="T115" t="s">
        <v>59</v>
      </c>
      <c r="U115" t="s">
        <v>57</v>
      </c>
      <c r="V115" t="s">
        <v>58</v>
      </c>
      <c r="W115" t="s">
        <v>58</v>
      </c>
      <c r="X115" t="s">
        <v>58</v>
      </c>
      <c r="Y115" t="s">
        <v>57</v>
      </c>
      <c r="Z115" t="s">
        <v>58</v>
      </c>
      <c r="AA115" t="s">
        <v>57</v>
      </c>
      <c r="AB115" t="s">
        <v>73</v>
      </c>
      <c r="AC115" t="s">
        <v>55</v>
      </c>
      <c r="AD115" t="s">
        <v>57</v>
      </c>
      <c r="AE115" t="s">
        <v>58</v>
      </c>
      <c r="AF115" t="s">
        <v>60</v>
      </c>
      <c r="AG115" t="s">
        <v>58</v>
      </c>
      <c r="AH115" t="s">
        <v>61</v>
      </c>
      <c r="AI115" t="s">
        <v>59</v>
      </c>
      <c r="AJ115" t="s">
        <v>59</v>
      </c>
      <c r="AK115" t="s">
        <v>59</v>
      </c>
      <c r="AL115" t="s">
        <v>58</v>
      </c>
      <c r="AM115" t="s">
        <v>55</v>
      </c>
      <c r="AN115" t="s">
        <v>81</v>
      </c>
      <c r="AO115" t="s">
        <v>59</v>
      </c>
      <c r="AP115" t="s">
        <v>55</v>
      </c>
      <c r="AQ115" t="s">
        <v>58</v>
      </c>
      <c r="AR115" t="s">
        <v>57</v>
      </c>
      <c r="AT115" t="str">
        <f t="shared" si="28"/>
        <v>zdecydowanie tak</v>
      </c>
      <c r="AU115" t="str">
        <f t="shared" si="29"/>
        <v>powyżej 260 godzin</v>
      </c>
      <c r="AV115">
        <f t="shared" si="30"/>
        <v>279</v>
      </c>
      <c r="AW115">
        <f t="shared" si="31"/>
        <v>2</v>
      </c>
    </row>
    <row r="116" spans="1:49" x14ac:dyDescent="0.2">
      <c r="A116" t="s">
        <v>148</v>
      </c>
      <c r="B116" t="s">
        <v>45</v>
      </c>
      <c r="C116" t="s">
        <v>46</v>
      </c>
      <c r="D116" t="s">
        <v>47</v>
      </c>
      <c r="E116" t="s">
        <v>103</v>
      </c>
      <c r="F116" t="s">
        <v>49</v>
      </c>
      <c r="G116" t="s">
        <v>50</v>
      </c>
      <c r="H116" t="s">
        <v>90</v>
      </c>
      <c r="I116" t="s">
        <v>114</v>
      </c>
      <c r="J116" t="s">
        <v>118</v>
      </c>
      <c r="K116" t="s">
        <v>54</v>
      </c>
      <c r="L116" t="s">
        <v>73</v>
      </c>
      <c r="M116" t="s">
        <v>99</v>
      </c>
      <c r="N116" t="s">
        <v>85</v>
      </c>
      <c r="O116" t="s">
        <v>57</v>
      </c>
      <c r="P116" t="s">
        <v>55</v>
      </c>
      <c r="Q116" t="s">
        <v>57</v>
      </c>
      <c r="R116" t="s">
        <v>55</v>
      </c>
      <c r="S116" t="s">
        <v>55</v>
      </c>
      <c r="T116" t="s">
        <v>55</v>
      </c>
      <c r="U116" t="s">
        <v>57</v>
      </c>
      <c r="V116" t="s">
        <v>57</v>
      </c>
      <c r="W116" t="s">
        <v>57</v>
      </c>
      <c r="X116" t="s">
        <v>55</v>
      </c>
      <c r="Y116" t="s">
        <v>55</v>
      </c>
      <c r="Z116" t="s">
        <v>73</v>
      </c>
      <c r="AA116" t="s">
        <v>73</v>
      </c>
      <c r="AB116" t="s">
        <v>73</v>
      </c>
      <c r="AC116" t="s">
        <v>57</v>
      </c>
      <c r="AD116" t="s">
        <v>55</v>
      </c>
      <c r="AE116" t="s">
        <v>55</v>
      </c>
      <c r="AF116" t="s">
        <v>60</v>
      </c>
      <c r="AG116" t="s">
        <v>55</v>
      </c>
      <c r="AH116" t="s">
        <v>74</v>
      </c>
      <c r="AI116" t="s">
        <v>57</v>
      </c>
      <c r="AJ116" t="s">
        <v>57</v>
      </c>
      <c r="AK116" t="s">
        <v>55</v>
      </c>
      <c r="AL116" t="s">
        <v>57</v>
      </c>
      <c r="AM116" t="s">
        <v>55</v>
      </c>
      <c r="AN116" t="s">
        <v>81</v>
      </c>
      <c r="AO116" t="s">
        <v>57</v>
      </c>
      <c r="AP116" t="s">
        <v>73</v>
      </c>
      <c r="AQ116" t="s">
        <v>57</v>
      </c>
      <c r="AR116" t="s">
        <v>55</v>
      </c>
      <c r="AT116" t="str">
        <f t="shared" si="28"/>
        <v>raczej tak</v>
      </c>
      <c r="AU116" t="str">
        <f t="shared" si="29"/>
        <v>powyżej 260 godzin</v>
      </c>
      <c r="AV116">
        <f t="shared" si="30"/>
        <v>279</v>
      </c>
      <c r="AW116">
        <f t="shared" si="31"/>
        <v>1</v>
      </c>
    </row>
    <row r="117" spans="1:49" x14ac:dyDescent="0.2">
      <c r="A117" t="s">
        <v>124</v>
      </c>
      <c r="B117" t="s">
        <v>45</v>
      </c>
      <c r="C117" t="s">
        <v>125</v>
      </c>
      <c r="D117" t="s">
        <v>121</v>
      </c>
      <c r="E117" t="s">
        <v>126</v>
      </c>
      <c r="F117" t="s">
        <v>49</v>
      </c>
      <c r="G117" t="s">
        <v>97</v>
      </c>
      <c r="H117" t="s">
        <v>90</v>
      </c>
      <c r="I117" t="s">
        <v>70</v>
      </c>
      <c r="J117" t="s">
        <v>79</v>
      </c>
      <c r="K117" t="s">
        <v>80</v>
      </c>
      <c r="L117" t="s">
        <v>57</v>
      </c>
      <c r="M117" t="s">
        <v>51</v>
      </c>
      <c r="N117" t="s">
        <v>57</v>
      </c>
      <c r="O117" t="s">
        <v>57</v>
      </c>
      <c r="P117" t="s">
        <v>55</v>
      </c>
      <c r="Q117" t="s">
        <v>55</v>
      </c>
      <c r="R117" t="s">
        <v>55</v>
      </c>
      <c r="S117" t="s">
        <v>57</v>
      </c>
      <c r="T117" t="s">
        <v>59</v>
      </c>
      <c r="U117" t="s">
        <v>55</v>
      </c>
      <c r="V117" t="s">
        <v>73</v>
      </c>
      <c r="W117" t="s">
        <v>58</v>
      </c>
      <c r="X117" t="s">
        <v>59</v>
      </c>
      <c r="Y117" t="s">
        <v>55</v>
      </c>
      <c r="Z117" t="s">
        <v>58</v>
      </c>
      <c r="AA117" t="s">
        <v>57</v>
      </c>
      <c r="AB117" t="s">
        <v>57</v>
      </c>
      <c r="AC117" t="s">
        <v>73</v>
      </c>
      <c r="AD117" t="s">
        <v>57</v>
      </c>
      <c r="AE117" t="s">
        <v>58</v>
      </c>
      <c r="AF117" t="s">
        <v>94</v>
      </c>
      <c r="AG117" t="s">
        <v>57</v>
      </c>
      <c r="AH117" t="s">
        <v>61</v>
      </c>
      <c r="AI117" t="s">
        <v>59</v>
      </c>
      <c r="AJ117" t="s">
        <v>57</v>
      </c>
      <c r="AK117" t="s">
        <v>55</v>
      </c>
      <c r="AL117" t="s">
        <v>57</v>
      </c>
      <c r="AM117" t="s">
        <v>57</v>
      </c>
      <c r="AN117" t="s">
        <v>81</v>
      </c>
      <c r="AO117" t="s">
        <v>57</v>
      </c>
      <c r="AP117" t="s">
        <v>59</v>
      </c>
      <c r="AQ117" t="s">
        <v>57</v>
      </c>
      <c r="AR117" t="s">
        <v>58</v>
      </c>
      <c r="AT117" t="str">
        <f t="shared" si="28"/>
        <v>raczej tak</v>
      </c>
      <c r="AU117" t="str">
        <f t="shared" si="29"/>
        <v>do 149 godzin</v>
      </c>
      <c r="AV117">
        <f t="shared" si="30"/>
        <v>149</v>
      </c>
      <c r="AW117">
        <f t="shared" si="31"/>
        <v>1</v>
      </c>
    </row>
    <row r="118" spans="1:49" x14ac:dyDescent="0.2">
      <c r="A118" t="s">
        <v>227</v>
      </c>
      <c r="B118" t="s">
        <v>45</v>
      </c>
      <c r="D118" t="s">
        <v>47</v>
      </c>
      <c r="E118" t="s">
        <v>103</v>
      </c>
      <c r="F118" t="s">
        <v>49</v>
      </c>
      <c r="G118" t="s">
        <v>89</v>
      </c>
      <c r="H118" t="s">
        <v>90</v>
      </c>
      <c r="I118" t="s">
        <v>70</v>
      </c>
      <c r="J118" t="s">
        <v>53</v>
      </c>
      <c r="K118" t="s">
        <v>80</v>
      </c>
      <c r="L118" t="s">
        <v>58</v>
      </c>
      <c r="M118" t="s">
        <v>99</v>
      </c>
      <c r="N118" t="s">
        <v>57</v>
      </c>
      <c r="O118" t="s">
        <v>104</v>
      </c>
      <c r="P118" t="s">
        <v>59</v>
      </c>
      <c r="Q118" t="s">
        <v>58</v>
      </c>
      <c r="R118" t="s">
        <v>57</v>
      </c>
      <c r="S118" t="s">
        <v>73</v>
      </c>
      <c r="T118" t="s">
        <v>55</v>
      </c>
      <c r="U118" t="s">
        <v>59</v>
      </c>
      <c r="V118" t="s">
        <v>73</v>
      </c>
      <c r="W118" t="s">
        <v>59</v>
      </c>
      <c r="X118" t="s">
        <v>59</v>
      </c>
      <c r="Y118" t="s">
        <v>57</v>
      </c>
      <c r="Z118" t="s">
        <v>58</v>
      </c>
      <c r="AA118" t="s">
        <v>58</v>
      </c>
      <c r="AB118" t="s">
        <v>58</v>
      </c>
      <c r="AC118" t="s">
        <v>55</v>
      </c>
      <c r="AD118" t="s">
        <v>59</v>
      </c>
      <c r="AE118" t="s">
        <v>58</v>
      </c>
      <c r="AF118" t="s">
        <v>60</v>
      </c>
      <c r="AG118" t="s">
        <v>57</v>
      </c>
      <c r="AH118" t="s">
        <v>61</v>
      </c>
      <c r="AI118" t="s">
        <v>55</v>
      </c>
      <c r="AJ118" t="s">
        <v>59</v>
      </c>
      <c r="AK118" t="s">
        <v>59</v>
      </c>
      <c r="AL118" t="s">
        <v>73</v>
      </c>
      <c r="AM118" t="s">
        <v>57</v>
      </c>
      <c r="AN118" t="s">
        <v>62</v>
      </c>
      <c r="AO118" t="s">
        <v>57</v>
      </c>
      <c r="AP118" t="s">
        <v>55</v>
      </c>
      <c r="AQ118" t="s">
        <v>58</v>
      </c>
      <c r="AR118" t="s">
        <v>58</v>
      </c>
      <c r="AT118" t="str">
        <f t="shared" si="28"/>
        <v>nie mam zdania</v>
      </c>
      <c r="AU118" t="str">
        <f t="shared" si="29"/>
        <v>od 170 do 199 godzin</v>
      </c>
      <c r="AV118">
        <f t="shared" si="30"/>
        <v>199</v>
      </c>
      <c r="AW118">
        <f t="shared" si="31"/>
        <v>0</v>
      </c>
    </row>
  </sheetData>
  <conditionalFormatting sqref="BQ20">
    <cfRule type="cellIs" dxfId="4" priority="8" operator="greaterThan">
      <formula>$BQ$15</formula>
    </cfRule>
  </conditionalFormatting>
  <conditionalFormatting sqref="BQ27">
    <cfRule type="cellIs" dxfId="3" priority="6" operator="greaterThan">
      <formula>$BQ$15</formula>
    </cfRule>
    <cfRule type="cellIs" dxfId="2" priority="1" operator="lessThan">
      <formula>$BQ$15</formula>
    </cfRule>
  </conditionalFormatting>
  <conditionalFormatting sqref="BQ35">
    <cfRule type="cellIs" dxfId="1" priority="3" operator="greaterThan">
      <formula>$BQ$15</formula>
    </cfRule>
    <cfRule type="cellIs" dxfId="0" priority="2" operator="lessThan">
      <formula>$BQ$15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9A9EA-DBAA-D740-9114-F84EAB4E9326}">
  <sheetPr codeName="Arkusz5"/>
  <dimension ref="D1:E115"/>
  <sheetViews>
    <sheetView workbookViewId="0">
      <selection activeCell="D2" sqref="D2"/>
    </sheetView>
  </sheetViews>
  <sheetFormatPr baseColWidth="10" defaultRowHeight="16" x14ac:dyDescent="0.2"/>
  <sheetData>
    <row r="1" spans="4:5" x14ac:dyDescent="0.2">
      <c r="D1" t="s">
        <v>292</v>
      </c>
      <c r="E1" t="s">
        <v>293</v>
      </c>
    </row>
    <row r="2" spans="4:5" x14ac:dyDescent="0.2">
      <c r="D2" s="14"/>
    </row>
    <row r="3" spans="4:5" x14ac:dyDescent="0.2">
      <c r="D3" s="15"/>
    </row>
    <row r="4" spans="4:5" x14ac:dyDescent="0.2">
      <c r="D4" s="14"/>
    </row>
    <row r="5" spans="4:5" x14ac:dyDescent="0.2">
      <c r="D5" s="15"/>
    </row>
    <row r="6" spans="4:5" x14ac:dyDescent="0.2">
      <c r="D6" s="14"/>
    </row>
    <row r="7" spans="4:5" x14ac:dyDescent="0.2">
      <c r="D7" s="15"/>
    </row>
    <row r="8" spans="4:5" x14ac:dyDescent="0.2">
      <c r="D8" s="14"/>
    </row>
    <row r="9" spans="4:5" x14ac:dyDescent="0.2">
      <c r="D9" s="15"/>
    </row>
    <row r="10" spans="4:5" x14ac:dyDescent="0.2">
      <c r="D10" s="14"/>
    </row>
    <row r="11" spans="4:5" x14ac:dyDescent="0.2">
      <c r="D11" s="15"/>
    </row>
    <row r="12" spans="4:5" x14ac:dyDescent="0.2">
      <c r="D12" s="14"/>
    </row>
    <row r="13" spans="4:5" x14ac:dyDescent="0.2">
      <c r="D13" s="15"/>
    </row>
    <row r="14" spans="4:5" x14ac:dyDescent="0.2">
      <c r="D14" s="14"/>
    </row>
    <row r="15" spans="4:5" x14ac:dyDescent="0.2">
      <c r="D15" s="15"/>
    </row>
    <row r="16" spans="4:5" x14ac:dyDescent="0.2">
      <c r="D16" s="14"/>
    </row>
    <row r="17" spans="4:4" x14ac:dyDescent="0.2">
      <c r="D17" s="15"/>
    </row>
    <row r="18" spans="4:4" x14ac:dyDescent="0.2">
      <c r="D18" s="14"/>
    </row>
    <row r="19" spans="4:4" x14ac:dyDescent="0.2">
      <c r="D19" s="15"/>
    </row>
    <row r="20" spans="4:4" x14ac:dyDescent="0.2">
      <c r="D20" s="14"/>
    </row>
    <row r="21" spans="4:4" x14ac:dyDescent="0.2">
      <c r="D21" s="15"/>
    </row>
    <row r="22" spans="4:4" x14ac:dyDescent="0.2">
      <c r="D22" s="14"/>
    </row>
    <row r="23" spans="4:4" x14ac:dyDescent="0.2">
      <c r="D23" s="15"/>
    </row>
    <row r="24" spans="4:4" x14ac:dyDescent="0.2">
      <c r="D24" s="14"/>
    </row>
    <row r="25" spans="4:4" x14ac:dyDescent="0.2">
      <c r="D25" s="15"/>
    </row>
    <row r="26" spans="4:4" x14ac:dyDescent="0.2">
      <c r="D26" s="14"/>
    </row>
    <row r="27" spans="4:4" x14ac:dyDescent="0.2">
      <c r="D27" s="15"/>
    </row>
    <row r="28" spans="4:4" x14ac:dyDescent="0.2">
      <c r="D28" s="14"/>
    </row>
    <row r="29" spans="4:4" x14ac:dyDescent="0.2">
      <c r="D29" s="15"/>
    </row>
    <row r="30" spans="4:4" x14ac:dyDescent="0.2">
      <c r="D30" s="14"/>
    </row>
    <row r="31" spans="4:4" x14ac:dyDescent="0.2">
      <c r="D31" s="15"/>
    </row>
    <row r="32" spans="4:4" x14ac:dyDescent="0.2">
      <c r="D32" s="14"/>
    </row>
    <row r="33" spans="4:4" x14ac:dyDescent="0.2">
      <c r="D33" s="15"/>
    </row>
    <row r="34" spans="4:4" x14ac:dyDescent="0.2">
      <c r="D34" s="14"/>
    </row>
    <row r="35" spans="4:4" x14ac:dyDescent="0.2">
      <c r="D35" s="15"/>
    </row>
    <row r="36" spans="4:4" x14ac:dyDescent="0.2">
      <c r="D36" s="14"/>
    </row>
    <row r="37" spans="4:4" x14ac:dyDescent="0.2">
      <c r="D37" s="15"/>
    </row>
    <row r="38" spans="4:4" x14ac:dyDescent="0.2">
      <c r="D38" s="14"/>
    </row>
    <row r="39" spans="4:4" x14ac:dyDescent="0.2">
      <c r="D39" s="15"/>
    </row>
    <row r="40" spans="4:4" x14ac:dyDescent="0.2">
      <c r="D40" s="14"/>
    </row>
    <row r="41" spans="4:4" x14ac:dyDescent="0.2">
      <c r="D41" s="15"/>
    </row>
    <row r="42" spans="4:4" x14ac:dyDescent="0.2">
      <c r="D42" s="14"/>
    </row>
    <row r="43" spans="4:4" x14ac:dyDescent="0.2">
      <c r="D43" s="15"/>
    </row>
    <row r="44" spans="4:4" x14ac:dyDescent="0.2">
      <c r="D44" s="14"/>
    </row>
    <row r="45" spans="4:4" x14ac:dyDescent="0.2">
      <c r="D45" s="15"/>
    </row>
    <row r="46" spans="4:4" x14ac:dyDescent="0.2">
      <c r="D46" s="14"/>
    </row>
    <row r="47" spans="4:4" x14ac:dyDescent="0.2">
      <c r="D47" s="15"/>
    </row>
    <row r="48" spans="4:4" x14ac:dyDescent="0.2">
      <c r="D48" s="14"/>
    </row>
    <row r="49" spans="4:4" x14ac:dyDescent="0.2">
      <c r="D49" s="15"/>
    </row>
    <row r="50" spans="4:4" x14ac:dyDescent="0.2">
      <c r="D50" s="14"/>
    </row>
    <row r="51" spans="4:4" x14ac:dyDescent="0.2">
      <c r="D51" s="15"/>
    </row>
    <row r="52" spans="4:4" x14ac:dyDescent="0.2">
      <c r="D52" s="14"/>
    </row>
    <row r="53" spans="4:4" x14ac:dyDescent="0.2">
      <c r="D53" s="15"/>
    </row>
    <row r="54" spans="4:4" x14ac:dyDescent="0.2">
      <c r="D54" s="14"/>
    </row>
    <row r="55" spans="4:4" x14ac:dyDescent="0.2">
      <c r="D55" s="15"/>
    </row>
    <row r="56" spans="4:4" x14ac:dyDescent="0.2">
      <c r="D56" s="14"/>
    </row>
    <row r="57" spans="4:4" x14ac:dyDescent="0.2">
      <c r="D57" s="15"/>
    </row>
    <row r="58" spans="4:4" x14ac:dyDescent="0.2">
      <c r="D58" s="14"/>
    </row>
    <row r="59" spans="4:4" x14ac:dyDescent="0.2">
      <c r="D59" s="15"/>
    </row>
    <row r="60" spans="4:4" x14ac:dyDescent="0.2">
      <c r="D60" s="14"/>
    </row>
    <row r="61" spans="4:4" x14ac:dyDescent="0.2">
      <c r="D61" s="15"/>
    </row>
    <row r="62" spans="4:4" x14ac:dyDescent="0.2">
      <c r="D62" s="14"/>
    </row>
    <row r="63" spans="4:4" x14ac:dyDescent="0.2">
      <c r="D63" s="15"/>
    </row>
    <row r="64" spans="4:4" x14ac:dyDescent="0.2">
      <c r="D64" s="14"/>
    </row>
    <row r="65" spans="4:4" x14ac:dyDescent="0.2">
      <c r="D65" s="15"/>
    </row>
    <row r="66" spans="4:4" x14ac:dyDescent="0.2">
      <c r="D66" s="14"/>
    </row>
    <row r="67" spans="4:4" x14ac:dyDescent="0.2">
      <c r="D67" s="15"/>
    </row>
    <row r="68" spans="4:4" x14ac:dyDescent="0.2">
      <c r="D68" s="14"/>
    </row>
    <row r="69" spans="4:4" x14ac:dyDescent="0.2">
      <c r="D69" s="15"/>
    </row>
    <row r="70" spans="4:4" x14ac:dyDescent="0.2">
      <c r="D70" s="14"/>
    </row>
    <row r="71" spans="4:4" x14ac:dyDescent="0.2">
      <c r="D71" s="15"/>
    </row>
    <row r="72" spans="4:4" x14ac:dyDescent="0.2">
      <c r="D72" s="14"/>
    </row>
    <row r="73" spans="4:4" x14ac:dyDescent="0.2">
      <c r="D73" s="15"/>
    </row>
    <row r="74" spans="4:4" x14ac:dyDescent="0.2">
      <c r="D74" s="14"/>
    </row>
    <row r="75" spans="4:4" x14ac:dyDescent="0.2">
      <c r="D75" s="15"/>
    </row>
    <row r="76" spans="4:4" x14ac:dyDescent="0.2">
      <c r="D76" s="14"/>
    </row>
    <row r="77" spans="4:4" x14ac:dyDescent="0.2">
      <c r="D77" s="15"/>
    </row>
    <row r="78" spans="4:4" x14ac:dyDescent="0.2">
      <c r="D78" s="14"/>
    </row>
    <row r="79" spans="4:4" x14ac:dyDescent="0.2">
      <c r="D79" s="15"/>
    </row>
    <row r="80" spans="4:4" x14ac:dyDescent="0.2">
      <c r="D80" s="14"/>
    </row>
    <row r="81" spans="4:4" x14ac:dyDescent="0.2">
      <c r="D81" s="15"/>
    </row>
    <row r="82" spans="4:4" x14ac:dyDescent="0.2">
      <c r="D82" s="14"/>
    </row>
    <row r="83" spans="4:4" x14ac:dyDescent="0.2">
      <c r="D83" s="15"/>
    </row>
    <row r="84" spans="4:4" x14ac:dyDescent="0.2">
      <c r="D84" s="14"/>
    </row>
    <row r="85" spans="4:4" x14ac:dyDescent="0.2">
      <c r="D85" s="15"/>
    </row>
    <row r="86" spans="4:4" x14ac:dyDescent="0.2">
      <c r="D86" s="14"/>
    </row>
    <row r="87" spans="4:4" x14ac:dyDescent="0.2">
      <c r="D87" s="15"/>
    </row>
    <row r="88" spans="4:4" x14ac:dyDescent="0.2">
      <c r="D88" s="14"/>
    </row>
    <row r="89" spans="4:4" x14ac:dyDescent="0.2">
      <c r="D89" s="15"/>
    </row>
    <row r="90" spans="4:4" x14ac:dyDescent="0.2">
      <c r="D90" s="14"/>
    </row>
    <row r="91" spans="4:4" x14ac:dyDescent="0.2">
      <c r="D91" s="15"/>
    </row>
    <row r="92" spans="4:4" x14ac:dyDescent="0.2">
      <c r="D92" s="14"/>
    </row>
    <row r="93" spans="4:4" x14ac:dyDescent="0.2">
      <c r="D93" s="15"/>
    </row>
    <row r="94" spans="4:4" x14ac:dyDescent="0.2">
      <c r="D94" s="14"/>
    </row>
    <row r="95" spans="4:4" x14ac:dyDescent="0.2">
      <c r="D95" s="15"/>
    </row>
    <row r="96" spans="4:4" x14ac:dyDescent="0.2">
      <c r="D96" s="14"/>
    </row>
    <row r="97" spans="4:4" x14ac:dyDescent="0.2">
      <c r="D97" s="15"/>
    </row>
    <row r="98" spans="4:4" x14ac:dyDescent="0.2">
      <c r="D98" s="14"/>
    </row>
    <row r="99" spans="4:4" x14ac:dyDescent="0.2">
      <c r="D99" s="15"/>
    </row>
    <row r="100" spans="4:4" x14ac:dyDescent="0.2">
      <c r="D100" s="14"/>
    </row>
    <row r="101" spans="4:4" x14ac:dyDescent="0.2">
      <c r="D101" s="15"/>
    </row>
    <row r="102" spans="4:4" x14ac:dyDescent="0.2">
      <c r="D102" s="14"/>
    </row>
    <row r="103" spans="4:4" x14ac:dyDescent="0.2">
      <c r="D103" s="15"/>
    </row>
    <row r="104" spans="4:4" x14ac:dyDescent="0.2">
      <c r="D104" s="14"/>
    </row>
    <row r="105" spans="4:4" x14ac:dyDescent="0.2">
      <c r="D105" s="15"/>
    </row>
    <row r="106" spans="4:4" x14ac:dyDescent="0.2">
      <c r="D106" s="14"/>
    </row>
    <row r="107" spans="4:4" x14ac:dyDescent="0.2">
      <c r="D107" s="15"/>
    </row>
    <row r="108" spans="4:4" x14ac:dyDescent="0.2">
      <c r="D108" s="14"/>
    </row>
    <row r="109" spans="4:4" x14ac:dyDescent="0.2">
      <c r="D109" s="15"/>
    </row>
    <row r="110" spans="4:4" x14ac:dyDescent="0.2">
      <c r="D110" s="14"/>
    </row>
    <row r="111" spans="4:4" x14ac:dyDescent="0.2">
      <c r="D111" s="15"/>
    </row>
    <row r="112" spans="4:4" x14ac:dyDescent="0.2">
      <c r="D112" s="14"/>
    </row>
    <row r="113" spans="4:4" x14ac:dyDescent="0.2">
      <c r="D113" s="15"/>
    </row>
    <row r="114" spans="4:4" x14ac:dyDescent="0.2">
      <c r="D114" s="14"/>
    </row>
    <row r="115" spans="4:4" x14ac:dyDescent="0.2">
      <c r="D115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21CF-1F9C-D14A-B592-C2D0FC74BB03}">
  <sheetPr codeName="Arkusz2"/>
  <dimension ref="B2:Q46"/>
  <sheetViews>
    <sheetView topLeftCell="A3" workbookViewId="0">
      <selection activeCell="D48" sqref="D48"/>
    </sheetView>
  </sheetViews>
  <sheetFormatPr baseColWidth="10" defaultRowHeight="16" x14ac:dyDescent="0.2"/>
  <cols>
    <col min="4" max="4" width="12.33203125" customWidth="1"/>
  </cols>
  <sheetData>
    <row r="2" spans="2:14" x14ac:dyDescent="0.2">
      <c r="B2" t="s">
        <v>234</v>
      </c>
      <c r="H2" t="s">
        <v>235</v>
      </c>
    </row>
    <row r="3" spans="2:14" x14ac:dyDescent="0.2">
      <c r="D3" t="s">
        <v>236</v>
      </c>
    </row>
    <row r="4" spans="2:14" x14ac:dyDescent="0.2">
      <c r="C4" t="s">
        <v>228</v>
      </c>
      <c r="D4" t="s">
        <v>237</v>
      </c>
      <c r="E4" t="s">
        <v>238</v>
      </c>
      <c r="H4" s="2" t="s">
        <v>241</v>
      </c>
      <c r="L4" s="2" t="s">
        <v>242</v>
      </c>
    </row>
    <row r="5" spans="2:14" x14ac:dyDescent="0.2">
      <c r="C5" t="s">
        <v>239</v>
      </c>
      <c r="D5" s="1">
        <v>9</v>
      </c>
      <c r="E5" s="1">
        <v>14</v>
      </c>
      <c r="F5">
        <f>SUM(D5:E5)</f>
        <v>23</v>
      </c>
      <c r="H5" s="3">
        <f>D7*F5/F7</f>
        <v>13</v>
      </c>
      <c r="I5" s="3">
        <f>E7*F5/F7</f>
        <v>10</v>
      </c>
      <c r="L5">
        <f>((D5-H5)*(D5-H5))/H5</f>
        <v>1.2307692307692308</v>
      </c>
      <c r="M5">
        <f>((E5-I5)*(E5-I5))/I5</f>
        <v>1.6</v>
      </c>
    </row>
    <row r="6" spans="2:14" x14ac:dyDescent="0.2">
      <c r="C6" t="s">
        <v>240</v>
      </c>
      <c r="D6" s="1">
        <v>56</v>
      </c>
      <c r="E6" s="1">
        <v>36</v>
      </c>
      <c r="F6">
        <f>SUM(D6:E6)</f>
        <v>92</v>
      </c>
      <c r="H6" s="3">
        <f>D7*F6/F7</f>
        <v>52</v>
      </c>
      <c r="I6" s="3">
        <f>E7*F6/F7</f>
        <v>40</v>
      </c>
      <c r="L6">
        <f>((D6-H6)*(D6-H6))/H6</f>
        <v>0.30769230769230771</v>
      </c>
      <c r="M6">
        <f>((E6-I6)*(E6-I6))/I6</f>
        <v>0.4</v>
      </c>
    </row>
    <row r="7" spans="2:14" x14ac:dyDescent="0.2">
      <c r="D7">
        <f>SUM(D5:D6)</f>
        <v>65</v>
      </c>
      <c r="E7">
        <f>SUM(E5:E6)</f>
        <v>50</v>
      </c>
      <c r="F7" s="2">
        <f>SUM(F5:F6)</f>
        <v>115</v>
      </c>
      <c r="H7" s="3"/>
      <c r="I7" s="3"/>
      <c r="N7">
        <f>SUM(L5:M6)</f>
        <v>3.5384615384615388</v>
      </c>
    </row>
    <row r="10" spans="2:14" x14ac:dyDescent="0.2">
      <c r="L10" t="s">
        <v>243</v>
      </c>
      <c r="N10" s="4">
        <v>3.8410000000000002</v>
      </c>
    </row>
    <row r="11" spans="2:14" x14ac:dyDescent="0.2">
      <c r="B11" t="s">
        <v>229</v>
      </c>
      <c r="C11" t="s">
        <v>230</v>
      </c>
      <c r="L11" t="s">
        <v>244</v>
      </c>
    </row>
    <row r="12" spans="2:14" x14ac:dyDescent="0.2">
      <c r="L12" t="s">
        <v>245</v>
      </c>
    </row>
    <row r="13" spans="2:14" x14ac:dyDescent="0.2">
      <c r="B13" t="s">
        <v>231</v>
      </c>
      <c r="C13" t="s">
        <v>232</v>
      </c>
    </row>
    <row r="14" spans="2:14" x14ac:dyDescent="0.2">
      <c r="L14" t="s">
        <v>246</v>
      </c>
      <c r="N14">
        <v>5.4119999999999999</v>
      </c>
    </row>
    <row r="15" spans="2:14" x14ac:dyDescent="0.2">
      <c r="L15" t="s">
        <v>247</v>
      </c>
    </row>
    <row r="16" spans="2:14" x14ac:dyDescent="0.2">
      <c r="L16" t="s">
        <v>248</v>
      </c>
    </row>
    <row r="17" spans="2:17" x14ac:dyDescent="0.2">
      <c r="B17" t="s">
        <v>233</v>
      </c>
    </row>
    <row r="20" spans="2:17" x14ac:dyDescent="0.2">
      <c r="D20" t="s">
        <v>236</v>
      </c>
    </row>
    <row r="21" spans="2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2:17" x14ac:dyDescent="0.2">
      <c r="C22" t="s">
        <v>239</v>
      </c>
      <c r="D22" s="6">
        <v>9</v>
      </c>
      <c r="E22" s="6">
        <v>10</v>
      </c>
      <c r="F22" s="6">
        <v>4</v>
      </c>
      <c r="G22">
        <f>SUM(D22:F22)</f>
        <v>23</v>
      </c>
      <c r="I22">
        <f>D24*$G22/$G24</f>
        <v>13</v>
      </c>
      <c r="J22">
        <f>E24*$G22/$G24</f>
        <v>8.4</v>
      </c>
      <c r="K22">
        <f>F24*$G22/$G24</f>
        <v>1.6</v>
      </c>
      <c r="M22">
        <f>(D22-I22)*(D22-I22)/I22</f>
        <v>1.2307692307692308</v>
      </c>
      <c r="N22">
        <f t="shared" ref="N22:O23" si="0">(E22-J22)*(E22-J22)/J22</f>
        <v>0.30476190476190462</v>
      </c>
      <c r="O22">
        <f t="shared" si="0"/>
        <v>3.5999999999999996</v>
      </c>
    </row>
    <row r="23" spans="2:17" x14ac:dyDescent="0.2">
      <c r="C23" t="s">
        <v>240</v>
      </c>
      <c r="D23" s="6">
        <v>56</v>
      </c>
      <c r="E23" s="6">
        <v>32</v>
      </c>
      <c r="F23" s="6">
        <v>4</v>
      </c>
      <c r="G23">
        <f>SUM(D23:F23)</f>
        <v>92</v>
      </c>
      <c r="I23">
        <f>D24*$G23/$G24</f>
        <v>52</v>
      </c>
      <c r="J23">
        <f t="shared" ref="J23:K23" si="1">E24*$G23/$G24</f>
        <v>33.6</v>
      </c>
      <c r="K23">
        <f t="shared" si="1"/>
        <v>6.4</v>
      </c>
      <c r="M23">
        <f>(D23-I23)*(D23-I23)/I23</f>
        <v>0.30769230769230771</v>
      </c>
      <c r="N23">
        <f>(E23-J23)*(E23-J23)/J23</f>
        <v>7.6190476190476322E-2</v>
      </c>
      <c r="O23">
        <f t="shared" si="0"/>
        <v>0.90000000000000024</v>
      </c>
    </row>
    <row r="24" spans="2:17" x14ac:dyDescent="0.2">
      <c r="C24" s="5"/>
      <c r="D24" s="5">
        <f>SUM(D22:D23)</f>
        <v>65</v>
      </c>
      <c r="E24">
        <f>SUM(E22:E23)</f>
        <v>42</v>
      </c>
      <c r="F24">
        <f>SUM(F22:F23)</f>
        <v>8</v>
      </c>
      <c r="G24">
        <f>SUM(G22:G23)</f>
        <v>115</v>
      </c>
      <c r="P24" s="8">
        <f>SUM(M22:O23)</f>
        <v>6.4194139194139188</v>
      </c>
      <c r="Q24" s="10" t="s">
        <v>255</v>
      </c>
    </row>
    <row r="25" spans="2:17" x14ac:dyDescent="0.2">
      <c r="C25" s="5"/>
      <c r="D25" s="5"/>
    </row>
    <row r="26" spans="2:17" x14ac:dyDescent="0.2">
      <c r="L26" s="9" t="s">
        <v>243</v>
      </c>
      <c r="M26" s="7">
        <v>5.9909999999999997</v>
      </c>
    </row>
    <row r="27" spans="2:17" x14ac:dyDescent="0.2">
      <c r="L27" t="s">
        <v>251</v>
      </c>
      <c r="O27" t="s">
        <v>268</v>
      </c>
      <c r="P27">
        <v>0.04</v>
      </c>
      <c r="Q27" t="s">
        <v>269</v>
      </c>
    </row>
    <row r="28" spans="2:17" x14ac:dyDescent="0.2">
      <c r="L28" t="s">
        <v>252</v>
      </c>
    </row>
    <row r="29" spans="2:17" x14ac:dyDescent="0.2">
      <c r="C29" t="s">
        <v>253</v>
      </c>
      <c r="F29" t="s">
        <v>254</v>
      </c>
    </row>
    <row r="31" spans="2:17" x14ac:dyDescent="0.2">
      <c r="O31" t="s">
        <v>295</v>
      </c>
      <c r="P31" t="s">
        <v>294</v>
      </c>
      <c r="Q31">
        <f>CHIINV(0.05,2)</f>
        <v>5.9914645471079817</v>
      </c>
    </row>
    <row r="32" spans="2:17" x14ac:dyDescent="0.2">
      <c r="C32" t="s">
        <v>256</v>
      </c>
    </row>
    <row r="37" spans="3:5" x14ac:dyDescent="0.2">
      <c r="C37" t="s">
        <v>284</v>
      </c>
      <c r="D37" t="s">
        <v>268</v>
      </c>
      <c r="E37" t="s">
        <v>296</v>
      </c>
    </row>
    <row r="38" spans="3:5" x14ac:dyDescent="0.2">
      <c r="C38">
        <v>2</v>
      </c>
      <c r="D38">
        <v>0.03</v>
      </c>
      <c r="E38">
        <f>CHIINV(D38,C38)</f>
        <v>7.0131157946399636</v>
      </c>
    </row>
    <row r="39" spans="3:5" x14ac:dyDescent="0.2">
      <c r="C39">
        <v>2</v>
      </c>
      <c r="D39">
        <v>4.7E-2</v>
      </c>
      <c r="E39">
        <f>CHIINV(D39,C39)</f>
        <v>6.1152153545441568</v>
      </c>
    </row>
    <row r="40" spans="3:5" x14ac:dyDescent="0.2">
      <c r="C40">
        <v>2</v>
      </c>
      <c r="D40">
        <v>4.0300000000000002E-2</v>
      </c>
      <c r="E40">
        <f t="shared" ref="E40:E46" si="2">CHIINV(D40,C40)</f>
        <v>6.4228076200589994</v>
      </c>
    </row>
    <row r="41" spans="3:5" x14ac:dyDescent="0.2">
      <c r="C41">
        <v>2</v>
      </c>
      <c r="D41">
        <v>4.0370000000000003E-2</v>
      </c>
      <c r="E41">
        <f t="shared" si="2"/>
        <v>6.4193366882345755</v>
      </c>
    </row>
    <row r="42" spans="3:5" x14ac:dyDescent="0.2">
      <c r="C42">
        <v>2</v>
      </c>
      <c r="D42">
        <v>0.64</v>
      </c>
      <c r="E42">
        <f t="shared" si="2"/>
        <v>0.89257420525683895</v>
      </c>
    </row>
    <row r="43" spans="3:5" x14ac:dyDescent="0.2">
      <c r="C43">
        <v>2</v>
      </c>
      <c r="D43">
        <v>0.89400000000000002</v>
      </c>
      <c r="E43">
        <f t="shared" si="2"/>
        <v>0.22409900761724577</v>
      </c>
    </row>
    <row r="44" spans="3:5" x14ac:dyDescent="0.2">
      <c r="C44">
        <v>3</v>
      </c>
      <c r="D44">
        <v>4.7399999999999998E-2</v>
      </c>
      <c r="E44">
        <f t="shared" si="2"/>
        <v>7.9337932951481722</v>
      </c>
    </row>
    <row r="45" spans="3:5" x14ac:dyDescent="0.2">
      <c r="C45">
        <v>4</v>
      </c>
      <c r="D45">
        <v>4.9099999999999998E-2</v>
      </c>
      <c r="E45">
        <f t="shared" si="2"/>
        <v>9.5316971653562579</v>
      </c>
    </row>
    <row r="46" spans="3:5" x14ac:dyDescent="0.2">
      <c r="C46">
        <v>4</v>
      </c>
      <c r="D46">
        <v>2.8000000000000001E-2</v>
      </c>
      <c r="E46">
        <f t="shared" si="2"/>
        <v>10.875452333804684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32FE-7AF9-B844-9252-7EEA4510313C}">
  <sheetPr codeName="Arkusz3"/>
  <dimension ref="A3:Q32"/>
  <sheetViews>
    <sheetView workbookViewId="0">
      <selection activeCell="C7" sqref="C7:I7"/>
    </sheetView>
  </sheetViews>
  <sheetFormatPr baseColWidth="10" defaultRowHeight="16" x14ac:dyDescent="0.2"/>
  <sheetData>
    <row r="3" spans="2:4" x14ac:dyDescent="0.2">
      <c r="C3" t="s">
        <v>258</v>
      </c>
      <c r="D3" t="s">
        <v>259</v>
      </c>
    </row>
    <row r="7" spans="2:4" x14ac:dyDescent="0.2">
      <c r="B7" t="s">
        <v>262</v>
      </c>
      <c r="C7" t="s">
        <v>263</v>
      </c>
    </row>
    <row r="8" spans="2:4" x14ac:dyDescent="0.2">
      <c r="B8" t="s">
        <v>231</v>
      </c>
      <c r="C8" t="s">
        <v>264</v>
      </c>
    </row>
    <row r="20" spans="1:17" x14ac:dyDescent="0.2">
      <c r="D20" t="s">
        <v>236</v>
      </c>
    </row>
    <row r="21" spans="1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1:17" x14ac:dyDescent="0.2">
      <c r="A22" t="s">
        <v>257</v>
      </c>
      <c r="B22" t="s">
        <v>94</v>
      </c>
      <c r="C22" s="11">
        <v>5</v>
      </c>
      <c r="D22" s="6">
        <v>13</v>
      </c>
      <c r="E22" s="6">
        <v>10</v>
      </c>
      <c r="F22" s="6">
        <v>3</v>
      </c>
      <c r="G22">
        <f>SUM(D22:F22)</f>
        <v>26</v>
      </c>
      <c r="I22">
        <f>D$27*$G22/$G$27</f>
        <v>14.695652173913043</v>
      </c>
      <c r="J22">
        <f t="shared" ref="J22:K22" si="0">E$27*$G22/$G$27</f>
        <v>9.4956521739130437</v>
      </c>
      <c r="K22">
        <f t="shared" si="0"/>
        <v>1.808695652173913</v>
      </c>
      <c r="M22">
        <f t="shared" ref="M22:O23" si="1">(D22-I22)*(D22-I22)/I22</f>
        <v>0.19565217391304338</v>
      </c>
      <c r="N22">
        <f t="shared" si="1"/>
        <v>2.6787705048574591E-2</v>
      </c>
      <c r="O22">
        <f t="shared" si="1"/>
        <v>0.78465719063545147</v>
      </c>
    </row>
    <row r="23" spans="1:17" x14ac:dyDescent="0.2">
      <c r="B23" t="s">
        <v>57</v>
      </c>
      <c r="C23" s="11">
        <v>4</v>
      </c>
      <c r="D23" s="6">
        <v>27</v>
      </c>
      <c r="E23" s="6">
        <v>17</v>
      </c>
      <c r="F23" s="6">
        <v>3</v>
      </c>
      <c r="G23">
        <f>SUM(D23:F23)</f>
        <v>47</v>
      </c>
      <c r="I23">
        <f t="shared" ref="I23:I25" si="2">D$27*$G23/$G$27</f>
        <v>26.565217391304348</v>
      </c>
      <c r="J23">
        <f>E$27*$G23/$G$27</f>
        <v>17.165217391304349</v>
      </c>
      <c r="K23">
        <f t="shared" ref="K23:K26" si="3">F$27*$G23/$G$27</f>
        <v>3.2695652173913046</v>
      </c>
      <c r="M23">
        <f t="shared" si="1"/>
        <v>7.1159183092578153E-3</v>
      </c>
      <c r="N23">
        <f t="shared" si="1"/>
        <v>1.5902383154927338E-3</v>
      </c>
      <c r="O23">
        <f t="shared" si="1"/>
        <v>2.2224791859389487E-2</v>
      </c>
    </row>
    <row r="24" spans="1:17" x14ac:dyDescent="0.2">
      <c r="B24" t="s">
        <v>261</v>
      </c>
      <c r="C24" s="12">
        <v>3</v>
      </c>
      <c r="D24" s="5">
        <v>5</v>
      </c>
      <c r="E24">
        <v>2</v>
      </c>
      <c r="F24">
        <v>0</v>
      </c>
      <c r="G24">
        <f t="shared" ref="G24:G26" si="4">SUM(D24:F24)</f>
        <v>7</v>
      </c>
      <c r="I24">
        <f t="shared" si="2"/>
        <v>3.9565217391304346</v>
      </c>
      <c r="J24">
        <f t="shared" ref="J24:J26" si="5">E$27*$G24/$G$27</f>
        <v>2.5565217391304347</v>
      </c>
      <c r="K24">
        <f t="shared" si="3"/>
        <v>0.48695652173913045</v>
      </c>
      <c r="M24">
        <f t="shared" ref="M24:M26" si="6">(D24-I24)*(D24-I24)/I24</f>
        <v>0.27520305781175358</v>
      </c>
      <c r="N24">
        <f t="shared" ref="N24:N26" si="7">(E24-J24)*(E24-J24)/J24</f>
        <v>0.12114758947057079</v>
      </c>
      <c r="O24">
        <f t="shared" ref="O24:O26" si="8">(F24-K24)*(F24-K24)/K24</f>
        <v>0.48695652173913045</v>
      </c>
      <c r="Q24" s="10" t="s">
        <v>255</v>
      </c>
    </row>
    <row r="25" spans="1:17" x14ac:dyDescent="0.2">
      <c r="B25" t="s">
        <v>55</v>
      </c>
      <c r="C25" s="12">
        <v>2</v>
      </c>
      <c r="D25" s="5">
        <v>14</v>
      </c>
      <c r="E25">
        <v>11</v>
      </c>
      <c r="F25">
        <v>1</v>
      </c>
      <c r="G25">
        <f t="shared" si="4"/>
        <v>26</v>
      </c>
      <c r="I25">
        <f t="shared" si="2"/>
        <v>14.695652173913043</v>
      </c>
      <c r="J25">
        <f t="shared" si="5"/>
        <v>9.4956521739130437</v>
      </c>
      <c r="K25">
        <f>F$27*$G25/$G$27</f>
        <v>1.808695652173913</v>
      </c>
      <c r="M25">
        <f t="shared" si="6"/>
        <v>3.2930280421919172E-2</v>
      </c>
      <c r="N25">
        <f t="shared" si="7"/>
        <v>0.23832616658703604</v>
      </c>
      <c r="O25">
        <f t="shared" si="8"/>
        <v>0.3615802675585284</v>
      </c>
    </row>
    <row r="26" spans="1:17" x14ac:dyDescent="0.2">
      <c r="B26" t="s">
        <v>260</v>
      </c>
      <c r="C26" s="12">
        <v>1</v>
      </c>
      <c r="D26" s="5">
        <v>6</v>
      </c>
      <c r="E26">
        <v>2</v>
      </c>
      <c r="F26">
        <v>1</v>
      </c>
      <c r="G26">
        <f t="shared" si="4"/>
        <v>9</v>
      </c>
      <c r="I26">
        <f>D$27*$G26/$G$27</f>
        <v>5.0869565217391308</v>
      </c>
      <c r="J26">
        <f t="shared" si="5"/>
        <v>3.2869565217391306</v>
      </c>
      <c r="K26">
        <f t="shared" si="3"/>
        <v>0.62608695652173918</v>
      </c>
      <c r="M26">
        <f t="shared" si="6"/>
        <v>0.16387959866220722</v>
      </c>
      <c r="N26">
        <f t="shared" si="7"/>
        <v>0.50388773867034742</v>
      </c>
      <c r="O26">
        <f t="shared" si="8"/>
        <v>0.22330917874396125</v>
      </c>
    </row>
    <row r="27" spans="1:17" x14ac:dyDescent="0.2">
      <c r="D27">
        <f>SUM(D22:D26)</f>
        <v>65</v>
      </c>
      <c r="E27">
        <f t="shared" ref="E27:F27" si="9">SUM(E22:E26)</f>
        <v>42</v>
      </c>
      <c r="F27">
        <f t="shared" si="9"/>
        <v>8</v>
      </c>
      <c r="G27">
        <f>SUM(G22:G26)</f>
        <v>115</v>
      </c>
      <c r="P27" s="8">
        <f>SUM(M22:O26)</f>
        <v>3.4452484177466629</v>
      </c>
    </row>
    <row r="30" spans="1:17" x14ac:dyDescent="0.2">
      <c r="B30" t="s">
        <v>266</v>
      </c>
      <c r="O30" t="s">
        <v>243</v>
      </c>
      <c r="P30">
        <v>15.507</v>
      </c>
    </row>
    <row r="31" spans="1:17" x14ac:dyDescent="0.2">
      <c r="B31" t="s">
        <v>267</v>
      </c>
      <c r="O31" t="s">
        <v>244</v>
      </c>
    </row>
    <row r="32" spans="1:17" x14ac:dyDescent="0.2">
      <c r="O32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Ankieta</vt:lpstr>
      <vt:lpstr>Arkusz2</vt:lpstr>
      <vt:lpstr>pyt 27</vt:lpstr>
      <vt:lpstr>pyt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2022-05-03T14:00:33Z</dcterms:created>
  <dcterms:modified xsi:type="dcterms:W3CDTF">2022-05-15T12:26:21Z</dcterms:modified>
</cp:coreProperties>
</file>